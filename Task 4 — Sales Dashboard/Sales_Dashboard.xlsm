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HP\OneDrive\Documents\Excel-automation-data-entry-projects\Task 4 — Sales Dashboard\"/>
    </mc:Choice>
  </mc:AlternateContent>
  <xr:revisionPtr revIDLastSave="0" documentId="13_ncr:1_{7BA60B7B-0669-4AD5-B577-543E844E64FE}" xr6:coauthVersionLast="47" xr6:coauthVersionMax="47" xr10:uidLastSave="{00000000-0000-0000-0000-000000000000}"/>
  <bookViews>
    <workbookView xWindow="-108" yWindow="-108" windowWidth="23256" windowHeight="12456" activeTab="1" xr2:uid="{00000000-000D-0000-FFFF-FFFF00000000}"/>
  </bookViews>
  <sheets>
    <sheet name="Source Data" sheetId="1" r:id="rId1"/>
    <sheet name="Calculations" sheetId="2" r:id="rId2"/>
    <sheet name="Charts" sheetId="3" r:id="rId3"/>
    <sheet name="Dashboard" sheetId="4" r:id="rId4"/>
    <sheet name="Forecast" sheetId="5" r:id="rId5"/>
    <sheet name="What-If" sheetId="6" r:id="rId6"/>
    <sheet name="Quaterly View" sheetId="8" r:id="rId7"/>
  </sheets>
  <definedNames>
    <definedName name="_xlnm.Print_Area" localSheetId="3">Dashboard!$A$1:$K$30</definedName>
    <definedName name="Slicer_Quarte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6" l="1"/>
  <c r="B13" i="6" s="1"/>
  <c r="C13" i="6" s="1"/>
  <c r="B12" i="6"/>
  <c r="B24" i="6" s="1"/>
  <c r="B43" i="3"/>
  <c r="A43" i="3"/>
  <c r="B42" i="3"/>
  <c r="A42" i="3"/>
  <c r="B41" i="3"/>
  <c r="A41" i="3"/>
  <c r="B40" i="3"/>
  <c r="A40" i="3"/>
  <c r="B39" i="3"/>
  <c r="A39" i="3"/>
  <c r="B38" i="3"/>
  <c r="A38" i="3"/>
  <c r="B37" i="3"/>
  <c r="A37" i="3"/>
  <c r="B36" i="3"/>
  <c r="A36" i="3"/>
  <c r="B35" i="3"/>
  <c r="A35" i="3"/>
  <c r="B34" i="3"/>
  <c r="A34" i="3"/>
  <c r="B33" i="3"/>
  <c r="A33" i="3"/>
  <c r="B32" i="3"/>
  <c r="A32" i="3"/>
  <c r="C29" i="3"/>
  <c r="B29" i="3"/>
  <c r="A29" i="3"/>
  <c r="C28" i="3"/>
  <c r="B28" i="3"/>
  <c r="A28" i="3"/>
  <c r="C27" i="3"/>
  <c r="B27" i="3"/>
  <c r="A27" i="3"/>
  <c r="C26" i="3"/>
  <c r="B26" i="3"/>
  <c r="A26" i="3"/>
  <c r="C25" i="3"/>
  <c r="B25" i="3"/>
  <c r="A25" i="3"/>
  <c r="C24" i="3"/>
  <c r="B24" i="3"/>
  <c r="A24" i="3"/>
  <c r="C23" i="3"/>
  <c r="B23" i="3"/>
  <c r="A23" i="3"/>
  <c r="C22" i="3"/>
  <c r="B22" i="3"/>
  <c r="A22" i="3"/>
  <c r="C21" i="3"/>
  <c r="B21" i="3"/>
  <c r="A21" i="3"/>
  <c r="C20" i="3"/>
  <c r="B20" i="3"/>
  <c r="A20" i="3"/>
  <c r="C19" i="3"/>
  <c r="B19" i="3"/>
  <c r="A19" i="3"/>
  <c r="C18" i="3"/>
  <c r="B18" i="3"/>
  <c r="A18" i="3"/>
  <c r="B14" i="3"/>
  <c r="A14" i="3"/>
  <c r="B13" i="3"/>
  <c r="A13" i="3"/>
  <c r="B12" i="3"/>
  <c r="A12" i="3"/>
  <c r="B11" i="3"/>
  <c r="A11" i="3"/>
  <c r="B10" i="3"/>
  <c r="A10" i="3"/>
  <c r="B9" i="3"/>
  <c r="A9" i="3"/>
  <c r="B8" i="3"/>
  <c r="A8" i="3"/>
  <c r="B7" i="3"/>
  <c r="A7" i="3"/>
  <c r="B6" i="3"/>
  <c r="A6" i="3"/>
  <c r="B5" i="3"/>
  <c r="A5" i="3"/>
  <c r="B4" i="3"/>
  <c r="A4" i="3"/>
  <c r="B3" i="3"/>
  <c r="A3" i="3"/>
  <c r="B14" i="2"/>
  <c r="B47" i="3" s="1"/>
  <c r="F13" i="2"/>
  <c r="E13" i="2"/>
  <c r="C13" i="2"/>
  <c r="D13" i="2" s="1"/>
  <c r="B13" i="2"/>
  <c r="G13" i="2" s="1"/>
  <c r="C43" i="3" s="1"/>
  <c r="A13" i="2"/>
  <c r="H12" i="2"/>
  <c r="F12" i="2"/>
  <c r="E12" i="2"/>
  <c r="C12" i="2"/>
  <c r="B12" i="2"/>
  <c r="A12" i="2"/>
  <c r="H11" i="2"/>
  <c r="G11" i="2"/>
  <c r="C41" i="3" s="1"/>
  <c r="F11" i="2"/>
  <c r="E11" i="2"/>
  <c r="D11" i="2"/>
  <c r="C11" i="2"/>
  <c r="B11" i="2"/>
  <c r="A11" i="2"/>
  <c r="F10" i="2"/>
  <c r="E10" i="2"/>
  <c r="C10" i="2"/>
  <c r="D10" i="2" s="1"/>
  <c r="B10" i="2"/>
  <c r="A10" i="2"/>
  <c r="H9" i="2"/>
  <c r="F9" i="2"/>
  <c r="E9" i="2"/>
  <c r="C9" i="2"/>
  <c r="B9" i="2"/>
  <c r="A9" i="2"/>
  <c r="H8" i="2"/>
  <c r="G8" i="2"/>
  <c r="C38" i="3" s="1"/>
  <c r="F8" i="2"/>
  <c r="E8" i="2"/>
  <c r="D8" i="2"/>
  <c r="C8" i="2"/>
  <c r="B8" i="2"/>
  <c r="A8" i="2"/>
  <c r="F7" i="2"/>
  <c r="E7" i="2"/>
  <c r="C7" i="2"/>
  <c r="D7" i="2" s="1"/>
  <c r="B7" i="2"/>
  <c r="G7" i="2" s="1"/>
  <c r="C37" i="3" s="1"/>
  <c r="A7" i="2"/>
  <c r="H6" i="2"/>
  <c r="F6" i="2"/>
  <c r="E6" i="2"/>
  <c r="C6" i="2"/>
  <c r="B6" i="2"/>
  <c r="A6" i="2"/>
  <c r="H5" i="2"/>
  <c r="G5" i="2"/>
  <c r="C35" i="3" s="1"/>
  <c r="F5" i="2"/>
  <c r="E5" i="2"/>
  <c r="D5" i="2"/>
  <c r="C5" i="2"/>
  <c r="B5" i="2"/>
  <c r="A5" i="2"/>
  <c r="F4" i="2"/>
  <c r="E4" i="2"/>
  <c r="C4" i="2"/>
  <c r="D4" i="2" s="1"/>
  <c r="B4" i="2"/>
  <c r="G4" i="2" s="1"/>
  <c r="C34" i="3" s="1"/>
  <c r="A4" i="2"/>
  <c r="H3" i="2"/>
  <c r="F3" i="2"/>
  <c r="E3" i="2"/>
  <c r="E14" i="2" s="1"/>
  <c r="H4" i="4" s="1"/>
  <c r="C3" i="2"/>
  <c r="B3" i="2"/>
  <c r="A3" i="2"/>
  <c r="F2" i="2"/>
  <c r="F14" i="2" s="1"/>
  <c r="J4" i="4" s="1"/>
  <c r="E2" i="2"/>
  <c r="C2" i="2"/>
  <c r="D2" i="2" s="1"/>
  <c r="B2" i="2"/>
  <c r="A2" i="2"/>
  <c r="G13" i="1"/>
  <c r="F13" i="1"/>
  <c r="G12" i="1"/>
  <c r="F12" i="1"/>
  <c r="G11" i="1"/>
  <c r="F11" i="1"/>
  <c r="G10" i="1"/>
  <c r="F10" i="1"/>
  <c r="G9" i="1"/>
  <c r="F9" i="1"/>
  <c r="G8" i="1"/>
  <c r="F8" i="1"/>
  <c r="G7" i="1"/>
  <c r="F7" i="1"/>
  <c r="G6" i="1"/>
  <c r="F6" i="1"/>
  <c r="G5" i="1"/>
  <c r="F5" i="1"/>
  <c r="G4" i="1"/>
  <c r="F4" i="1"/>
  <c r="G3" i="1"/>
  <c r="F3" i="1"/>
  <c r="G2" i="1"/>
  <c r="F2" i="1"/>
  <c r="C16" i="5"/>
  <c r="D16" i="5" s="1"/>
  <c r="C15" i="5"/>
  <c r="D15" i="5" s="1"/>
  <c r="C14" i="5"/>
  <c r="D14" i="5" s="1"/>
  <c r="C13" i="5"/>
  <c r="D13" i="5" s="1"/>
  <c r="C12" i="5"/>
  <c r="D12" i="5" s="1"/>
  <c r="C11" i="5"/>
  <c r="D11" i="5" s="1"/>
  <c r="C10" i="5"/>
  <c r="D10" i="5" s="1"/>
  <c r="C9" i="5"/>
  <c r="D9" i="5" s="1"/>
  <c r="C8" i="5"/>
  <c r="D8" i="5" s="1"/>
  <c r="C7" i="5"/>
  <c r="D7" i="5" s="1"/>
  <c r="C6" i="5"/>
  <c r="D6" i="5" s="1"/>
  <c r="C5" i="5"/>
  <c r="B26" i="5" s="1"/>
  <c r="E20" i="5"/>
  <c r="E22" i="5"/>
  <c r="E21" i="5"/>
  <c r="D21" i="5"/>
  <c r="D20" i="5"/>
  <c r="D22" i="5"/>
  <c r="G22" i="5" l="1"/>
  <c r="F22" i="5"/>
  <c r="B27" i="5"/>
  <c r="F20" i="5"/>
  <c r="G20" i="5"/>
  <c r="B29" i="5" s="1"/>
  <c r="F21" i="5"/>
  <c r="G21" i="5"/>
  <c r="D6" i="4"/>
  <c r="G2" i="2"/>
  <c r="C32" i="3" s="1"/>
  <c r="G10" i="2"/>
  <c r="C40" i="3" s="1"/>
  <c r="G12" i="2"/>
  <c r="C42" i="3" s="1"/>
  <c r="B14" i="6"/>
  <c r="C14" i="6" s="1"/>
  <c r="D13" i="6"/>
  <c r="B4" i="4"/>
  <c r="D3" i="2"/>
  <c r="D14" i="2" s="1"/>
  <c r="H4" i="2"/>
  <c r="D6" i="2"/>
  <c r="G6" i="2" s="1"/>
  <c r="C36" i="3" s="1"/>
  <c r="H7" i="2"/>
  <c r="D9" i="2"/>
  <c r="G9" i="2" s="1"/>
  <c r="C39" i="3" s="1"/>
  <c r="H10" i="2"/>
  <c r="D12" i="2"/>
  <c r="H13" i="2"/>
  <c r="B25" i="5"/>
  <c r="C14" i="2"/>
  <c r="D12" i="6"/>
  <c r="D5" i="5"/>
  <c r="B49" i="3" l="1"/>
  <c r="F4" i="4"/>
  <c r="G14" i="2"/>
  <c r="G3" i="2"/>
  <c r="C33" i="3" s="1"/>
  <c r="B48" i="3"/>
  <c r="D4" i="4"/>
  <c r="B15" i="6"/>
  <c r="C15" i="6" s="1"/>
  <c r="D14" i="6"/>
  <c r="B28" i="5"/>
  <c r="B16" i="6" l="1"/>
  <c r="C16" i="6" s="1"/>
  <c r="D15" i="6"/>
  <c r="B2" i="4"/>
  <c r="B6" i="4"/>
  <c r="B17" i="6" l="1"/>
  <c r="C17" i="6" s="1"/>
  <c r="D16" i="6"/>
  <c r="B18" i="6" l="1"/>
  <c r="C18" i="6" s="1"/>
  <c r="D17" i="6"/>
  <c r="B19" i="6" l="1"/>
  <c r="C19" i="6" s="1"/>
  <c r="D18" i="6"/>
  <c r="B20" i="6" l="1"/>
  <c r="C20" i="6" s="1"/>
  <c r="D19" i="6"/>
  <c r="B21" i="6" l="1"/>
  <c r="C21" i="6" s="1"/>
  <c r="D20" i="6"/>
  <c r="B22" i="6" l="1"/>
  <c r="C22" i="6" s="1"/>
  <c r="D21" i="6"/>
  <c r="B23" i="6" l="1"/>
  <c r="C23" i="6" s="1"/>
  <c r="D22" i="6"/>
  <c r="D23" i="6" l="1"/>
  <c r="D24" i="6" s="1"/>
  <c r="D27" i="6" s="1"/>
  <c r="C24" i="6"/>
  <c r="D26" i="6" s="1"/>
</calcChain>
</file>

<file path=xl/sharedStrings.xml><?xml version="1.0" encoding="utf-8"?>
<sst xmlns="http://schemas.openxmlformats.org/spreadsheetml/2006/main" count="132" uniqueCount="78">
  <si>
    <t>Revenue Forecast — Next 3 Months</t>
  </si>
  <si>
    <t>Historical Data</t>
  </si>
  <si>
    <t>Period</t>
  </si>
  <si>
    <t>Month</t>
  </si>
  <si>
    <t>Revenue (Actual)</t>
  </si>
  <si>
    <t>Forecast Revenue</t>
  </si>
  <si>
    <t>Confidence Interval (±)</t>
  </si>
  <si>
    <t>Lower Bound</t>
  </si>
  <si>
    <t>Upper Bound</t>
  </si>
  <si>
    <t>Jan</t>
  </si>
  <si>
    <t>Feb</t>
  </si>
  <si>
    <t>Mar</t>
  </si>
  <si>
    <t>Apr</t>
  </si>
  <si>
    <t>May</t>
  </si>
  <si>
    <t>Jun</t>
  </si>
  <si>
    <t>Jul</t>
  </si>
  <si>
    <t>Aug</t>
  </si>
  <si>
    <t>Sep</t>
  </si>
  <si>
    <t>Oct</t>
  </si>
  <si>
    <t>Nov</t>
  </si>
  <si>
    <t>Dec</t>
  </si>
  <si>
    <t>Forecast Period  (Next Quarter)</t>
  </si>
  <si>
    <t>Jan (Forecast)</t>
  </si>
  <si>
    <t>Feb (Forecast)</t>
  </si>
  <si>
    <t>Mar (Forecast)</t>
  </si>
  <si>
    <t>Summary</t>
  </si>
  <si>
    <t>Total Historical Revenue</t>
  </si>
  <si>
    <t>Avg Monthly Revenue</t>
  </si>
  <si>
    <t>Projected Q1 Revenue</t>
  </si>
  <si>
    <t>Projected Q1 Lower Bound</t>
  </si>
  <si>
    <t>Projected Q1 Upper Bound</t>
  </si>
  <si>
    <t>Revenue</t>
  </si>
  <si>
    <t>Expenses</t>
  </si>
  <si>
    <t>Leads</t>
  </si>
  <si>
    <t>Orders</t>
  </si>
  <si>
    <t>Month Num</t>
  </si>
  <si>
    <t>Quarter</t>
  </si>
  <si>
    <t>Profit</t>
  </si>
  <si>
    <t>Profit Margin %</t>
  </si>
  <si>
    <t>Monthly Growth %</t>
  </si>
  <si>
    <t>""</t>
  </si>
  <si>
    <t>TOTAL</t>
  </si>
  <si>
    <t>Revenue Trend Data</t>
  </si>
  <si>
    <t>Revenue vs Expenses Data</t>
  </si>
  <si>
    <t>Category</t>
  </si>
  <si>
    <t>Amount</t>
  </si>
  <si>
    <t>TOTAL REVENUE</t>
  </si>
  <si>
    <t>TOTAL EXPENSES</t>
  </si>
  <si>
    <t>TOTAL PROFIT</t>
  </si>
  <si>
    <t>TOTAL LEADS</t>
  </si>
  <si>
    <t>TOTAL ORDERS</t>
  </si>
  <si>
    <t>What-If Analysis — Revenue Projection</t>
  </si>
  <si>
    <t>Scenario Inputs</t>
  </si>
  <si>
    <t>Projected Monthly Growth Rate:</t>
  </si>
  <si>
    <t>Type a percentage (e.g. 5%)</t>
  </si>
  <si>
    <t>Quick Presets:</t>
  </si>
  <si>
    <t>Select a preset above, then copy it to B5</t>
  </si>
  <si>
    <t>Tip:</t>
  </si>
  <si>
    <t>Change the value in B5 — the table and chart below update instantly.</t>
  </si>
  <si>
    <t>Revenue Projection — Next 12 Months</t>
  </si>
  <si>
    <t>Starting Revenue</t>
  </si>
  <si>
    <t>Projected Revenue</t>
  </si>
  <si>
    <t>Growth Amount</t>
  </si>
  <si>
    <t>Projected Year-End Revenue:</t>
  </si>
  <si>
    <t>Total Growth over Baseline:</t>
  </si>
  <si>
    <t>Scenario Comparison</t>
  </si>
  <si>
    <t>Growth Rate</t>
  </si>
  <si>
    <t>Projected Year-End Revenue</t>
  </si>
  <si>
    <t>vs Baseline</t>
  </si>
  <si>
    <t>→ Type in B5 →</t>
  </si>
  <si>
    <t>Tip: Select a growth rate from the Quick Presets dropdown, copy it to cell B5, and the projection updates instantly.</t>
  </si>
  <si>
    <t>Row Labels</t>
  </si>
  <si>
    <t>Q1</t>
  </si>
  <si>
    <t>Q2</t>
  </si>
  <si>
    <t>Q3</t>
  </si>
  <si>
    <t>Q4</t>
  </si>
  <si>
    <t>Grand Total</t>
  </si>
  <si>
    <t>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</si>
</sst>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x14ac:knownFonts="1">
    <font>
      <sz val="11"/>
      <color theme="1"/>
      <name val="Calibri"/>
      <family val="2"/>
      <scheme val="minor"/>
    </font>
    <font>
      <b/>
      <sz val="11"/>
      <color rgb="FFFFFFFF"/>
      <name val="Calibri"/>
      <family val="2"/>
    </font>
    <font>
      <sz val="10"/>
      <color rgb="FF1F2A44"/>
      <name val="Calibri"/>
      <family val="2"/>
    </font>
    <font>
      <b/>
      <sz val="10"/>
      <color rgb="FFFFFFFF"/>
      <name val="Calibri"/>
      <family val="2"/>
    </font>
    <font>
      <b/>
      <sz val="16"/>
      <color rgb="FF1B2A4A"/>
      <name val="Calibri"/>
      <family val="2"/>
    </font>
    <font>
      <sz val="9"/>
      <color rgb="FF6C757D"/>
      <name val="Calibri"/>
      <family val="2"/>
    </font>
    <font>
      <b/>
      <sz val="22"/>
      <color rgb="FF00B4D8"/>
      <name val="Calibri"/>
      <family val="2"/>
    </font>
    <font>
      <sz val="10"/>
      <color rgb="FF6C757D"/>
      <name val="Calibri"/>
      <family val="2"/>
    </font>
    <font>
      <b/>
      <sz val="22"/>
      <color rgb="FFEF476F"/>
      <name val="Calibri"/>
      <family val="2"/>
    </font>
    <font>
      <b/>
      <sz val="22"/>
      <color rgb="FF06D6A0"/>
      <name val="Calibri"/>
      <family val="2"/>
    </font>
    <font>
      <b/>
      <sz val="22"/>
      <color rgb="FF2E5090"/>
      <name val="Calibri"/>
      <family val="2"/>
    </font>
    <font>
      <b/>
      <sz val="22"/>
      <color rgb="FFFF9F1C"/>
      <name val="Calibri"/>
      <family val="2"/>
    </font>
    <font>
      <b/>
      <sz val="11"/>
      <color theme="0"/>
      <name val="Calibri"/>
      <family val="2"/>
      <scheme val="minor"/>
    </font>
    <font>
      <b/>
      <sz val="14"/>
      <color rgb="FF6C757D"/>
      <name val="Calibri"/>
      <family val="2"/>
    </font>
    <font>
      <b/>
      <sz val="16"/>
      <color rgb="FF1B2A4A"/>
      <name val="Calibri"/>
      <family val="2"/>
    </font>
    <font>
      <b/>
      <sz val="12"/>
      <color rgb="FF2E5090"/>
      <name val="Calibri"/>
      <family val="2"/>
    </font>
    <font>
      <b/>
      <sz val="11"/>
      <color rgb="FFFFFFFF"/>
      <name val="Calibri"/>
      <family val="2"/>
    </font>
    <font>
      <sz val="11"/>
      <name val="Calibri"/>
      <family val="2"/>
    </font>
    <font>
      <b/>
      <sz val="12"/>
      <color rgb="FFE65100"/>
      <name val="Calibri"/>
      <family val="2"/>
    </font>
    <font>
      <b/>
      <sz val="11"/>
      <color rgb="FFE65100"/>
      <name val="Calibri"/>
      <family val="2"/>
    </font>
    <font>
      <b/>
      <sz val="14"/>
      <color rgb="FF1B2A4A"/>
      <name val="Calibri"/>
      <family val="2"/>
    </font>
    <font>
      <b/>
      <sz val="11"/>
      <name val="Calibri"/>
      <family val="2"/>
    </font>
    <font>
      <b/>
      <sz val="16"/>
      <color rgb="FF1B2A4A"/>
      <name val="Calibri"/>
      <family val="2"/>
    </font>
    <font>
      <b/>
      <sz val="13"/>
      <color rgb="FF2E5090"/>
      <name val="Calibri"/>
      <family val="2"/>
    </font>
    <font>
      <b/>
      <sz val="11"/>
      <color rgb="FF1B2A4A"/>
      <name val="Calibri"/>
      <family val="2"/>
    </font>
    <font>
      <b/>
      <sz val="14"/>
      <color rgb="FF1B2A4A"/>
      <name val="Calibri"/>
      <family val="2"/>
    </font>
    <font>
      <i/>
      <sz val="10"/>
      <color rgb="FF808080"/>
      <name val="Calibri"/>
      <family val="2"/>
    </font>
    <font>
      <sz val="11"/>
      <color rgb="FF808080"/>
      <name val="Calibri"/>
      <family val="2"/>
    </font>
    <font>
      <b/>
      <sz val="10"/>
      <color rgb="FF808080"/>
      <name val="Calibri"/>
      <family val="2"/>
    </font>
    <font>
      <b/>
      <sz val="11"/>
      <color rgb="FFFFFFFF"/>
      <name val="Calibri"/>
      <family val="2"/>
    </font>
    <font>
      <sz val="11"/>
      <name val="Calibri"/>
      <family val="2"/>
    </font>
    <font>
      <b/>
      <sz val="11"/>
      <color rgb="FF2E5090"/>
      <name val="Calibri"/>
      <family val="2"/>
    </font>
    <font>
      <b/>
      <sz val="18"/>
      <color rgb="FF1B8A3A"/>
      <name val="Calibri"/>
      <family val="2"/>
    </font>
    <font>
      <b/>
      <sz val="12"/>
      <color rgb="FF1B2A4A"/>
      <name val="Calibri"/>
      <family val="2"/>
    </font>
    <font>
      <b/>
      <sz val="14"/>
      <color rgb="FFE65100"/>
      <name val="Calibri"/>
      <family val="2"/>
    </font>
    <font>
      <i/>
      <sz val="9"/>
      <color rgb="FF2E5090"/>
      <name val="Calibri"/>
      <family val="2"/>
    </font>
    <font>
      <b/>
      <sz val="14"/>
      <color rgb="FF000000"/>
      <name val="Calibri"/>
      <family val="2"/>
    </font>
    <font>
      <sz val="11"/>
      <color rgb="FF000000"/>
      <name val="Calibri"/>
      <family val="2"/>
    </font>
  </fonts>
  <fills count="13">
    <fill>
      <patternFill patternType="none"/>
    </fill>
    <fill>
      <patternFill patternType="gray125"/>
    </fill>
    <fill>
      <patternFill patternType="solid">
        <fgColor rgb="FF1B2A4A"/>
      </patternFill>
    </fill>
    <fill>
      <patternFill patternType="solid">
        <fgColor rgb="FF2E5090"/>
      </patternFill>
    </fill>
    <fill>
      <patternFill patternType="solid">
        <fgColor rgb="FFFFFFFF"/>
      </patternFill>
    </fill>
    <fill>
      <patternFill patternType="solid">
        <fgColor rgb="FFF4F6F9"/>
      </patternFill>
    </fill>
    <fill>
      <patternFill patternType="solid">
        <fgColor theme="4" tint="-0.249977111117893"/>
        <bgColor indexed="64"/>
      </patternFill>
    </fill>
    <fill>
      <patternFill patternType="solid">
        <fgColor rgb="FF1B2A4A"/>
        <bgColor rgb="FF1B2A4A"/>
      </patternFill>
    </fill>
    <fill>
      <patternFill patternType="solid">
        <fgColor rgb="FFF5F5F5"/>
        <bgColor rgb="FFF5F5F5"/>
      </patternFill>
    </fill>
    <fill>
      <patternFill patternType="solid">
        <fgColor rgb="FFE65100"/>
        <bgColor rgb="FFE65100"/>
      </patternFill>
    </fill>
    <fill>
      <patternFill patternType="solid">
        <fgColor rgb="FFE8F0FE"/>
        <bgColor rgb="FFE8F0FE"/>
      </patternFill>
    </fill>
    <fill>
      <patternFill patternType="solid">
        <fgColor rgb="FF1B2A4A"/>
        <bgColor rgb="FF1B2A4A"/>
      </patternFill>
    </fill>
    <fill>
      <patternFill patternType="solid">
        <fgColor rgb="FFF5F5F5"/>
        <bgColor rgb="FFF5F5F5"/>
      </patternFill>
    </fill>
  </fills>
  <borders count="9">
    <border>
      <left/>
      <right/>
      <top/>
      <bottom/>
      <diagonal/>
    </border>
    <border>
      <left style="thin">
        <color rgb="FFBDC5D1"/>
      </left>
      <right style="thin">
        <color rgb="FFBDC5D1"/>
      </right>
      <top style="thin">
        <color rgb="FFBDC5D1"/>
      </top>
      <bottom style="thin">
        <color rgb="FFBDC5D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FBFBF"/>
      </left>
      <right style="thin">
        <color rgb="FFBFBFBF"/>
      </right>
      <top style="thin">
        <color rgb="FFBFBFBF"/>
      </top>
      <bottom style="thin">
        <color rgb="FFBFBFBF"/>
      </bottom>
      <diagonal/>
    </border>
    <border>
      <left style="medium">
        <color rgb="FF1B2A4A"/>
      </left>
      <right style="medium">
        <color rgb="FF1B2A4A"/>
      </right>
      <top style="medium">
        <color rgb="FF1B2A4A"/>
      </top>
      <bottom style="medium">
        <color rgb="FF1B2A4A"/>
      </bottom>
      <diagonal/>
    </border>
    <border>
      <left style="thin">
        <color rgb="FFBFBFBF"/>
      </left>
      <right style="thin">
        <color rgb="FFBFBFBF"/>
      </right>
      <top style="thin">
        <color rgb="FFBFBFBF"/>
      </top>
      <bottom style="thin">
        <color rgb="FFBFBFBF"/>
      </bottom>
      <diagonal/>
    </border>
    <border>
      <left/>
      <right/>
      <top/>
      <bottom style="double">
        <color rgb="FF1B8A3A"/>
      </bottom>
      <diagonal/>
    </border>
  </borders>
  <cellStyleXfs count="1">
    <xf numFmtId="0" fontId="0" fillId="0" borderId="0"/>
  </cellStyleXfs>
  <cellXfs count="76">
    <xf numFmtId="0" fontId="0" fillId="0" borderId="0" xfId="0"/>
    <xf numFmtId="0" fontId="1" fillId="2" borderId="1" xfId="0" applyFont="1" applyFill="1" applyBorder="1" applyAlignment="1">
      <alignment horizontal="center" vertical="center"/>
    </xf>
    <xf numFmtId="0" fontId="2" fillId="0" borderId="1" xfId="0" applyFont="1" applyBorder="1" applyAlignment="1">
      <alignment horizontal="center" vertical="center"/>
    </xf>
    <xf numFmtId="3" fontId="2" fillId="0" borderId="1" xfId="0" applyNumberFormat="1" applyFont="1" applyBorder="1" applyAlignment="1">
      <alignment horizontal="center" vertical="center"/>
    </xf>
    <xf numFmtId="0" fontId="1" fillId="2" borderId="1" xfId="0" applyFont="1" applyFill="1" applyBorder="1" applyAlignment="1">
      <alignment horizontal="center" vertical="center" wrapText="1"/>
    </xf>
    <xf numFmtId="164" fontId="2" fillId="0" borderId="1" xfId="0" applyNumberFormat="1" applyFont="1" applyBorder="1" applyAlignment="1">
      <alignment horizontal="center" vertical="center"/>
    </xf>
    <xf numFmtId="0" fontId="3" fillId="3" borderId="1" xfId="0" applyFont="1" applyFill="1" applyBorder="1" applyAlignment="1">
      <alignment horizontal="center" vertical="center"/>
    </xf>
    <xf numFmtId="3" fontId="3" fillId="3" borderId="1" xfId="0" applyNumberFormat="1" applyFont="1" applyFill="1" applyBorder="1" applyAlignment="1">
      <alignment horizontal="center" vertical="center"/>
    </xf>
    <xf numFmtId="164" fontId="3" fillId="3" borderId="1" xfId="0" applyNumberFormat="1" applyFont="1" applyFill="1" applyBorder="1" applyAlignment="1">
      <alignment horizontal="center" vertical="center"/>
    </xf>
    <xf numFmtId="0" fontId="0" fillId="0" borderId="2" xfId="0" applyBorder="1"/>
    <xf numFmtId="0" fontId="3" fillId="3" borderId="2" xfId="0" applyFont="1" applyFill="1" applyBorder="1" applyAlignment="1">
      <alignment horizontal="center" vertical="center"/>
    </xf>
    <xf numFmtId="0" fontId="2" fillId="0" borderId="2" xfId="0" applyFont="1" applyBorder="1" applyAlignment="1">
      <alignment horizontal="center" vertical="center"/>
    </xf>
    <xf numFmtId="3" fontId="2" fillId="0" borderId="2" xfId="0" applyNumberFormat="1" applyFont="1" applyBorder="1" applyAlignment="1">
      <alignment horizontal="center" vertical="center"/>
    </xf>
    <xf numFmtId="3" fontId="0" fillId="0" borderId="2" xfId="0" applyNumberFormat="1" applyBorder="1"/>
    <xf numFmtId="0" fontId="12" fillId="6" borderId="2" xfId="0" applyFont="1" applyFill="1" applyBorder="1" applyAlignment="1">
      <alignment horizontal="center"/>
    </xf>
    <xf numFmtId="0" fontId="16" fillId="7" borderId="5" xfId="0" applyFont="1" applyFill="1" applyBorder="1" applyAlignment="1">
      <alignment horizontal="center" vertical="center" wrapText="1"/>
    </xf>
    <xf numFmtId="1" fontId="17" fillId="0" borderId="5" xfId="0" applyNumberFormat="1" applyFont="1" applyBorder="1" applyAlignment="1">
      <alignment horizontal="center" vertical="center"/>
    </xf>
    <xf numFmtId="0" fontId="17" fillId="0" borderId="5" xfId="0" applyFont="1" applyBorder="1" applyAlignment="1">
      <alignment horizontal="center" vertical="center"/>
    </xf>
    <xf numFmtId="3" fontId="17" fillId="0" borderId="5" xfId="0" applyNumberFormat="1" applyFont="1" applyBorder="1" applyAlignment="1">
      <alignment horizontal="center" vertical="center"/>
    </xf>
    <xf numFmtId="1" fontId="17" fillId="8" borderId="5" xfId="0" applyNumberFormat="1" applyFont="1" applyFill="1" applyBorder="1" applyAlignment="1">
      <alignment horizontal="center" vertical="center"/>
    </xf>
    <xf numFmtId="0" fontId="17" fillId="8" borderId="5" xfId="0" applyFont="1" applyFill="1" applyBorder="1" applyAlignment="1">
      <alignment horizontal="center" vertical="center"/>
    </xf>
    <xf numFmtId="3" fontId="17" fillId="8" borderId="5" xfId="0" applyNumberFormat="1" applyFont="1" applyFill="1" applyBorder="1" applyAlignment="1">
      <alignment horizontal="center" vertical="center"/>
    </xf>
    <xf numFmtId="0" fontId="16" fillId="9" borderId="5" xfId="0" applyFont="1" applyFill="1" applyBorder="1" applyAlignment="1">
      <alignment horizontal="center" vertical="center" wrapText="1"/>
    </xf>
    <xf numFmtId="3" fontId="19" fillId="0" borderId="5" xfId="0" applyNumberFormat="1" applyFont="1" applyBorder="1" applyAlignment="1">
      <alignment horizontal="center" vertical="center"/>
    </xf>
    <xf numFmtId="0" fontId="21" fillId="0" borderId="0" xfId="0" applyFont="1" applyAlignment="1">
      <alignment horizontal="left" vertical="center"/>
    </xf>
    <xf numFmtId="0" fontId="19" fillId="0" borderId="5" xfId="0" applyFont="1" applyBorder="1" applyAlignment="1">
      <alignment horizontal="center" vertical="center"/>
    </xf>
    <xf numFmtId="0" fontId="24" fillId="0" borderId="0" xfId="0" applyFont="1" applyAlignment="1">
      <alignment horizontal="left" vertical="center"/>
    </xf>
    <xf numFmtId="164" fontId="25" fillId="10" borderId="6" xfId="0" applyNumberFormat="1" applyFont="1" applyFill="1" applyBorder="1" applyAlignment="1">
      <alignment horizontal="center" vertical="center"/>
    </xf>
    <xf numFmtId="0" fontId="26" fillId="0" borderId="0" xfId="0" applyFont="1" applyAlignment="1">
      <alignment horizontal="left" vertical="center"/>
    </xf>
    <xf numFmtId="0" fontId="27" fillId="0" borderId="7" xfId="0" applyFont="1" applyBorder="1" applyAlignment="1">
      <alignment horizontal="center" vertical="center"/>
    </xf>
    <xf numFmtId="0" fontId="28" fillId="0" borderId="0" xfId="0" applyFont="1"/>
    <xf numFmtId="0" fontId="29" fillId="11" borderId="7" xfId="0" applyFont="1" applyFill="1" applyBorder="1" applyAlignment="1">
      <alignment horizontal="center" vertical="center" wrapText="1"/>
    </xf>
    <xf numFmtId="0" fontId="30" fillId="0" borderId="7" xfId="0" applyFont="1" applyBorder="1" applyAlignment="1">
      <alignment horizontal="center" vertical="center"/>
    </xf>
    <xf numFmtId="3" fontId="30" fillId="0" borderId="7" xfId="0" applyNumberFormat="1" applyFont="1" applyBorder="1" applyAlignment="1">
      <alignment horizontal="center" vertical="center"/>
    </xf>
    <xf numFmtId="3" fontId="31" fillId="0" borderId="7" xfId="0" applyNumberFormat="1" applyFont="1" applyBorder="1" applyAlignment="1">
      <alignment horizontal="center" vertical="center"/>
    </xf>
    <xf numFmtId="0" fontId="30" fillId="12" borderId="7" xfId="0" applyFont="1" applyFill="1" applyBorder="1" applyAlignment="1">
      <alignment horizontal="center" vertical="center"/>
    </xf>
    <xf numFmtId="3" fontId="30" fillId="12" borderId="7" xfId="0" applyNumberFormat="1" applyFont="1" applyFill="1" applyBorder="1" applyAlignment="1">
      <alignment horizontal="center" vertical="center"/>
    </xf>
    <xf numFmtId="3" fontId="31" fillId="12" borderId="7" xfId="0" applyNumberFormat="1" applyFont="1" applyFill="1" applyBorder="1" applyAlignment="1">
      <alignment horizontal="center" vertical="center"/>
    </xf>
    <xf numFmtId="3" fontId="29" fillId="11" borderId="7" xfId="0" applyNumberFormat="1" applyFont="1" applyFill="1" applyBorder="1" applyAlignment="1">
      <alignment horizontal="center" vertical="center"/>
    </xf>
    <xf numFmtId="3" fontId="32" fillId="0" borderId="8" xfId="0" applyNumberFormat="1" applyFont="1" applyBorder="1" applyAlignment="1">
      <alignment horizontal="center" vertical="center"/>
    </xf>
    <xf numFmtId="3" fontId="34" fillId="0" borderId="0" xfId="0" applyNumberFormat="1" applyFont="1" applyAlignment="1">
      <alignment horizontal="center" vertical="center"/>
    </xf>
    <xf numFmtId="9" fontId="30" fillId="0" borderId="7" xfId="0" applyNumberFormat="1" applyFont="1" applyBorder="1" applyAlignment="1">
      <alignment horizontal="center" vertical="center"/>
    </xf>
    <xf numFmtId="0" fontId="26" fillId="0" borderId="7" xfId="0" applyFont="1" applyBorder="1" applyAlignment="1">
      <alignment horizontal="center" vertical="center"/>
    </xf>
    <xf numFmtId="0" fontId="30" fillId="0" borderId="7" xfId="0" applyFont="1" applyBorder="1"/>
    <xf numFmtId="9" fontId="30" fillId="10" borderId="7" xfId="0" applyNumberFormat="1" applyFont="1" applyFill="1" applyBorder="1" applyAlignment="1">
      <alignment horizontal="center" vertical="center"/>
    </xf>
    <xf numFmtId="0" fontId="26" fillId="10" borderId="7" xfId="0" applyFont="1" applyFill="1" applyBorder="1" applyAlignment="1">
      <alignment horizontal="center" vertical="center"/>
    </xf>
    <xf numFmtId="0" fontId="30" fillId="10" borderId="7" xfId="0" applyFont="1" applyFill="1" applyBorder="1"/>
    <xf numFmtId="0" fontId="29" fillId="11" borderId="7" xfId="0" applyFont="1" applyFill="1" applyBorder="1" applyAlignment="1">
      <alignment horizontal="center" vertical="center"/>
    </xf>
    <xf numFmtId="1" fontId="30" fillId="0" borderId="7" xfId="0" applyNumberFormat="1" applyFont="1" applyBorder="1" applyAlignment="1">
      <alignment horizontal="center" vertical="center"/>
    </xf>
    <xf numFmtId="0" fontId="0" fillId="0" borderId="2" xfId="0" pivotButton="1" applyBorder="1"/>
    <xf numFmtId="0" fontId="0" fillId="0" borderId="2" xfId="0" applyBorder="1" applyAlignment="1">
      <alignment horizontal="left"/>
    </xf>
    <xf numFmtId="0" fontId="35" fillId="0" borderId="0" xfId="0" applyFont="1" applyAlignment="1">
      <alignment horizontal="left" vertical="center"/>
    </xf>
    <xf numFmtId="0" fontId="0" fillId="0" borderId="0" xfId="0"/>
    <xf numFmtId="0" fontId="7" fillId="4" borderId="2" xfId="0" applyFont="1" applyFill="1" applyBorder="1" applyAlignment="1">
      <alignment horizontal="center" vertical="top"/>
    </xf>
    <xf numFmtId="0" fontId="0" fillId="0" borderId="4" xfId="0" applyBorder="1"/>
    <xf numFmtId="3" fontId="6" fillId="4" borderId="2" xfId="0" applyNumberFormat="1" applyFont="1" applyFill="1" applyBorder="1" applyAlignment="1">
      <alignment horizontal="center" vertical="center"/>
    </xf>
    <xf numFmtId="3" fontId="8" fillId="4" borderId="2" xfId="0" applyNumberFormat="1" applyFont="1" applyFill="1" applyBorder="1" applyAlignment="1">
      <alignment horizontal="center" vertical="center"/>
    </xf>
    <xf numFmtId="0" fontId="4" fillId="0" borderId="2" xfId="0" applyFont="1" applyBorder="1" applyAlignment="1">
      <alignment horizontal="center" vertical="center"/>
    </xf>
    <xf numFmtId="0" fontId="0" fillId="0" borderId="3" xfId="0" applyBorder="1"/>
    <xf numFmtId="0" fontId="5" fillId="4" borderId="2" xfId="0" applyFont="1" applyFill="1" applyBorder="1" applyAlignment="1">
      <alignment horizontal="center"/>
    </xf>
    <xf numFmtId="0" fontId="13" fillId="5" borderId="2" xfId="0" applyFont="1" applyFill="1" applyBorder="1" applyAlignment="1">
      <alignment horizontal="center"/>
    </xf>
    <xf numFmtId="3" fontId="9" fillId="4" borderId="2" xfId="0" applyNumberFormat="1" applyFont="1" applyFill="1" applyBorder="1" applyAlignment="1">
      <alignment horizontal="center" vertical="center"/>
    </xf>
    <xf numFmtId="0" fontId="0" fillId="0" borderId="2" xfId="0" applyBorder="1" applyAlignment="1">
      <alignment horizontal="center"/>
    </xf>
    <xf numFmtId="3" fontId="10" fillId="4" borderId="2" xfId="0" applyNumberFormat="1" applyFont="1" applyFill="1" applyBorder="1" applyAlignment="1">
      <alignment horizontal="center" vertical="center"/>
    </xf>
    <xf numFmtId="3" fontId="11" fillId="4"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5" fillId="0" borderId="0" xfId="0" applyFont="1" applyAlignment="1">
      <alignment horizontal="left" vertical="center"/>
    </xf>
    <xf numFmtId="0" fontId="20" fillId="0" borderId="0" xfId="0" applyFont="1"/>
    <xf numFmtId="0" fontId="14" fillId="0" borderId="0" xfId="0" applyFont="1" applyAlignment="1">
      <alignment horizontal="left" vertical="center"/>
    </xf>
    <xf numFmtId="0" fontId="18" fillId="0" borderId="0" xfId="0" applyFont="1" applyAlignment="1">
      <alignment horizontal="left" vertical="center"/>
    </xf>
    <xf numFmtId="0" fontId="26" fillId="0" borderId="0" xfId="0" applyFont="1" applyAlignment="1">
      <alignment horizontal="left" vertical="center" wrapText="1"/>
    </xf>
    <xf numFmtId="0" fontId="22" fillId="0" borderId="0" xfId="0" applyFont="1" applyAlignment="1">
      <alignment horizontal="left" vertical="center"/>
    </xf>
    <xf numFmtId="0" fontId="23" fillId="0" borderId="0" xfId="0" applyFont="1" applyAlignment="1">
      <alignment horizontal="left" vertical="center"/>
    </xf>
    <xf numFmtId="0" fontId="26" fillId="0" borderId="0" xfId="0" applyFont="1" applyAlignment="1">
      <alignment horizontal="left" vertical="center"/>
    </xf>
    <xf numFmtId="0" fontId="33" fillId="0" borderId="0" xfId="0" applyFont="1" applyAlignment="1">
      <alignment horizontal="right" vertical="center"/>
    </xf>
    <xf numFmtId="0" fontId="25" fillId="0" borderId="0" xfId="0" applyFont="1" applyAlignment="1">
      <alignment horizontal="right" vertical="center"/>
    </xf>
  </cellXfs>
  <cellStyles count="1">
    <cellStyle name="Normal" xfId="0" builtinId="0"/>
  </cellStyles>
  <dxfs count="16">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9C0006"/>
      </font>
      <fill>
        <patternFill patternType="solid">
          <fgColor rgb="FFFFC7CE"/>
        </patternFill>
      </fill>
    </dxf>
    <dxf>
      <font>
        <color rgb="FF006100"/>
      </font>
      <fill>
        <patternFill patternType="solid">
          <fgColor rgb="FFC6EFCE"/>
        </patternFill>
      </fill>
    </dxf>
    <dxf>
      <font>
        <color rgb="FF9C0006"/>
      </font>
      <fill>
        <patternFill patternType="solid">
          <fgColor rgb="FFFFC7CE"/>
        </patternFill>
      </fill>
    </dxf>
    <dxf>
      <font>
        <color rgb="FF006100"/>
      </font>
      <fill>
        <patternFill patternType="solid">
          <f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100" b="1"/>
            </a:pPr>
            <a:r>
              <a:rPr lang="en-IN"/>
              <a:t>Revenue Trend &amp; Profit Margin</a:t>
            </a:r>
          </a:p>
        </c:rich>
      </c:tx>
      <c:overlay val="0"/>
    </c:title>
    <c:autoTitleDeleted val="0"/>
    <c:plotArea>
      <c:layout/>
      <c:barChart>
        <c:barDir val="col"/>
        <c:grouping val="clustered"/>
        <c:varyColors val="0"/>
        <c:ser>
          <c:idx val="0"/>
          <c:order val="0"/>
          <c:tx>
            <c:strRef>
              <c:f>Charts!$B$31</c:f>
              <c:strCache>
                <c:ptCount val="1"/>
                <c:pt idx="0">
                  <c:v>Revenue</c:v>
                </c:pt>
              </c:strCache>
            </c:strRef>
          </c:tx>
          <c:spPr>
            <a:solidFill>
              <a:srgbClr val="9B7C4A"/>
            </a:solidFill>
            <a:ln>
              <a:prstDash val="solid"/>
            </a:ln>
          </c:spPr>
          <c:invertIfNegative val="0"/>
          <c:cat>
            <c:strRef>
              <c:f>Charts!$A$32:$A$43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Charts!$B$32:$B$43</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extLst>
            <c:ext xmlns:c16="http://schemas.microsoft.com/office/drawing/2014/chart" uri="{C3380CC4-5D6E-409C-BE32-E72D297353CC}">
              <c16:uniqueId val="{00000000-77B4-4CD1-9BF6-616184F3B8C5}"/>
            </c:ext>
          </c:extLst>
        </c:ser>
        <c:dLbls>
          <c:showLegendKey val="0"/>
          <c:showVal val="0"/>
          <c:showCatName val="0"/>
          <c:showSerName val="0"/>
          <c:showPercent val="0"/>
          <c:showBubbleSize val="0"/>
        </c:dLbls>
        <c:gapWidth val="150"/>
        <c:axId val="98609455"/>
        <c:axId val="98626255"/>
      </c:barChart>
      <c:lineChart>
        <c:grouping val="standard"/>
        <c:varyColors val="0"/>
        <c:ser>
          <c:idx val="1"/>
          <c:order val="1"/>
          <c:tx>
            <c:strRef>
              <c:f>Charts!$C$31</c:f>
              <c:strCache>
                <c:ptCount val="1"/>
                <c:pt idx="0">
                  <c:v>Profit Margin %</c:v>
                </c:pt>
              </c:strCache>
            </c:strRef>
          </c:tx>
          <c:spPr>
            <a:ln w="31750">
              <a:solidFill>
                <a:srgbClr val="2CA033"/>
              </a:solidFill>
              <a:prstDash val="solid"/>
            </a:ln>
          </c:spPr>
          <c:marker>
            <c:symbol val="none"/>
          </c:marker>
          <c:dLbls>
            <c:spPr>
              <a:noFill/>
              <a:ln>
                <a:noFill/>
                <a:prstDash val="solid"/>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Charts!$A$32:$A$43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Charts!$C$32:$C$43</c:f>
              <c:numCache>
                <c:formatCode>General</c:formatCode>
                <c:ptCount val="12"/>
                <c:pt idx="0">
                  <c:v>0.33333333333333331</c:v>
                </c:pt>
                <c:pt idx="1">
                  <c:v>0.37037037037037035</c:v>
                </c:pt>
                <c:pt idx="2">
                  <c:v>0.359375</c:v>
                </c:pt>
                <c:pt idx="3">
                  <c:v>0.4</c:v>
                </c:pt>
                <c:pt idx="4">
                  <c:v>0.40606060606060607</c:v>
                </c:pt>
                <c:pt idx="5">
                  <c:v>0.40697674418604651</c:v>
                </c:pt>
                <c:pt idx="6">
                  <c:v>0.4</c:v>
                </c:pt>
                <c:pt idx="7">
                  <c:v>0.40340909090909088</c:v>
                </c:pt>
                <c:pt idx="8">
                  <c:v>0.41052631578947368</c:v>
                </c:pt>
                <c:pt idx="9">
                  <c:v>0.42439024390243901</c:v>
                </c:pt>
                <c:pt idx="10">
                  <c:v>0.42660550458715596</c:v>
                </c:pt>
                <c:pt idx="11">
                  <c:v>0.42499999999999999</c:v>
                </c:pt>
              </c:numCache>
            </c:numRef>
          </c:val>
          <c:smooth val="0"/>
          <c:extLst>
            <c:ext xmlns:c16="http://schemas.microsoft.com/office/drawing/2014/chart" uri="{C3380CC4-5D6E-409C-BE32-E72D297353CC}">
              <c16:uniqueId val="{00000001-77B4-4CD1-9BF6-616184F3B8C5}"/>
            </c:ext>
          </c:extLst>
        </c:ser>
        <c:dLbls>
          <c:showLegendKey val="0"/>
          <c:showVal val="0"/>
          <c:showCatName val="0"/>
          <c:showSerName val="0"/>
          <c:showPercent val="0"/>
          <c:showBubbleSize val="0"/>
        </c:dLbls>
        <c:marker val="1"/>
        <c:smooth val="0"/>
        <c:axId val="98628655"/>
        <c:axId val="98630575"/>
      </c:lineChart>
      <c:catAx>
        <c:axId val="98609455"/>
        <c:scaling>
          <c:orientation val="minMax"/>
        </c:scaling>
        <c:delete val="0"/>
        <c:axPos val="b"/>
        <c:numFmt formatCode="General" sourceLinked="1"/>
        <c:majorTickMark val="out"/>
        <c:minorTickMark val="none"/>
        <c:tickLblPos val="nextTo"/>
        <c:crossAx val="98626255"/>
        <c:crosses val="autoZero"/>
        <c:auto val="1"/>
        <c:lblAlgn val="ctr"/>
        <c:lblOffset val="100"/>
        <c:noMultiLvlLbl val="0"/>
      </c:catAx>
      <c:valAx>
        <c:axId val="98626255"/>
        <c:scaling>
          <c:orientation val="minMax"/>
        </c:scaling>
        <c:delete val="0"/>
        <c:axPos val="l"/>
        <c:majorGridlines/>
        <c:numFmt formatCode="#,##0" sourceLinked="1"/>
        <c:majorTickMark val="out"/>
        <c:minorTickMark val="none"/>
        <c:tickLblPos val="nextTo"/>
        <c:crossAx val="98609455"/>
        <c:crosses val="autoZero"/>
        <c:crossBetween val="between"/>
      </c:valAx>
      <c:catAx>
        <c:axId val="98628655"/>
        <c:scaling>
          <c:orientation val="minMax"/>
        </c:scaling>
        <c:delete val="1"/>
        <c:axPos val="b"/>
        <c:numFmt formatCode="General" sourceLinked="1"/>
        <c:majorTickMark val="out"/>
        <c:minorTickMark val="none"/>
        <c:tickLblPos val="nextTo"/>
        <c:crossAx val="98630575"/>
        <c:crosses val="autoZero"/>
        <c:auto val="1"/>
        <c:lblAlgn val="ctr"/>
        <c:lblOffset val="100"/>
        <c:noMultiLvlLbl val="0"/>
      </c:catAx>
      <c:valAx>
        <c:axId val="98630575"/>
        <c:scaling>
          <c:orientation val="minMax"/>
        </c:scaling>
        <c:delete val="0"/>
        <c:axPos val="r"/>
        <c:numFmt formatCode="General" sourceLinked="1"/>
        <c:majorTickMark val="out"/>
        <c:minorTickMark val="none"/>
        <c:tickLblPos val="nextTo"/>
        <c:crossAx val="98628655"/>
        <c:crosses val="max"/>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Trend</a:t>
            </a:r>
          </a:p>
        </c:rich>
      </c:tx>
      <c:overlay val="1"/>
    </c:title>
    <c:autoTitleDeleted val="0"/>
    <c:plotArea>
      <c:layout>
        <c:manualLayout>
          <c:layoutTarget val="inner"/>
          <c:xMode val="edge"/>
          <c:yMode val="edge"/>
          <c:x val="0"/>
          <c:y val="2.0158730158730161E-2"/>
          <c:w val="0.82582051295369086"/>
          <c:h val="0.94456349206349211"/>
        </c:manualLayout>
      </c:layout>
      <c:lineChart>
        <c:grouping val="standard"/>
        <c:varyColors val="1"/>
        <c:ser>
          <c:idx val="0"/>
          <c:order val="0"/>
          <c:tx>
            <c:strRef>
              <c:f>Charts!$B$2</c:f>
              <c:strCache>
                <c:ptCount val="1"/>
                <c:pt idx="0">
                  <c:v>Revenue</c:v>
                </c:pt>
              </c:strCache>
            </c:strRef>
          </c:tx>
          <c:spPr>
            <a:ln w="28000">
              <a:solidFill>
                <a:srgbClr val="00B4D8"/>
              </a:solidFill>
              <a:prstDash val="solid"/>
            </a:ln>
          </c:spPr>
          <c:marker>
            <c:symbol val="none"/>
          </c:marker>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Charts!$B$3:$B$14</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smooth val="0"/>
          <c:extLst>
            <c:ext xmlns:c16="http://schemas.microsoft.com/office/drawing/2014/chart" uri="{C3380CC4-5D6E-409C-BE32-E72D297353CC}">
              <c16:uniqueId val="{00000000-755F-4367-A1BA-BA2D6592B1F4}"/>
            </c:ext>
          </c:extLst>
        </c:ser>
        <c:dLbls>
          <c:showLegendKey val="0"/>
          <c:showVal val="0"/>
          <c:showCatName val="0"/>
          <c:showSerName val="0"/>
          <c:showPercent val="0"/>
          <c:showBubbleSize val="0"/>
        </c:dLbls>
        <c:smooth val="0"/>
        <c:axId val="10"/>
        <c:axId val="100"/>
      </c:line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0"/>
        <c:majorTickMark val="none"/>
        <c:minorTickMark val="none"/>
        <c:tickLblPos val="nextTo"/>
        <c:crossAx val="10"/>
        <c:crosses val="autoZero"/>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vs Expenses</a:t>
            </a:r>
          </a:p>
        </c:rich>
      </c:tx>
      <c:overlay val="1"/>
    </c:title>
    <c:autoTitleDeleted val="0"/>
    <c:plotArea>
      <c:layout>
        <c:manualLayout>
          <c:layoutTarget val="inner"/>
          <c:xMode val="edge"/>
          <c:yMode val="edge"/>
          <c:x val="1.8296739853626082E-2"/>
          <c:y val="6.7278287461773695E-2"/>
          <c:w val="0.96340652029274787"/>
          <c:h val="0.93272171253822633"/>
        </c:manualLayout>
      </c:layout>
      <c:barChart>
        <c:barDir val="col"/>
        <c:grouping val="clustered"/>
        <c:varyColors val="1"/>
        <c:ser>
          <c:idx val="0"/>
          <c:order val="0"/>
          <c:tx>
            <c:strRef>
              <c:f>Charts!$B$2</c:f>
              <c:strCache>
                <c:ptCount val="1"/>
                <c:pt idx="0">
                  <c:v>Revenue</c:v>
                </c:pt>
              </c:strCache>
            </c:strRef>
          </c:tx>
          <c:spPr>
            <a:solidFill>
              <a:srgbClr val="00B4D8"/>
            </a:solidFill>
            <a:ln>
              <a:prstDash val="solid"/>
            </a:ln>
          </c:spPr>
          <c:invertIfNegative val="1"/>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Charts!$B$3:$B$14</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0848-4DA4-BF1F-5E46DBF7B6D7}"/>
            </c:ext>
          </c:extLst>
        </c:ser>
        <c:ser>
          <c:idx val="1"/>
          <c:order val="1"/>
          <c:tx>
            <c:strRef>
              <c:f>Charts!$C$2</c:f>
              <c:strCache>
                <c:ptCount val="1"/>
              </c:strCache>
            </c:strRef>
          </c:tx>
          <c:spPr>
            <a:solidFill>
              <a:srgbClr val="EF476F"/>
            </a:solidFill>
            <a:ln>
              <a:prstDash val="solid"/>
            </a:ln>
          </c:spPr>
          <c:invertIfNegative val="1"/>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Charts!$C$3:$C$14</c:f>
              <c:numCache>
                <c:formatCode>General</c:formatCode>
                <c:ptCount val="12"/>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1-0848-4DA4-BF1F-5E46DBF7B6D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Amount ($)</a:t>
                </a:r>
              </a:p>
            </c:rich>
          </c:tx>
          <c:overlay val="1"/>
        </c:title>
        <c:numFmt formatCode="#,##0" sourceLinked="0"/>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Forecast with 90% Confidence Interval</a:t>
            </a:r>
          </a:p>
        </c:rich>
      </c:tx>
      <c:overlay val="1"/>
    </c:title>
    <c:autoTitleDeleted val="0"/>
    <c:plotArea>
      <c:layout>
        <c:manualLayout>
          <c:layoutTarget val="inner"/>
          <c:xMode val="edge"/>
          <c:yMode val="edge"/>
          <c:x val="1.7638888888888891E-2"/>
          <c:y val="2.7718253968253968E-2"/>
          <c:w val="0.96472222222222226"/>
          <c:h val="0.93448412698412675"/>
        </c:manualLayout>
      </c:layout>
      <c:lineChart>
        <c:grouping val="standard"/>
        <c:varyColors val="1"/>
        <c:ser>
          <c:idx val="0"/>
          <c:order val="0"/>
          <c:tx>
            <c:strRef>
              <c:f>Forecast!$C$4</c:f>
              <c:strCache>
                <c:ptCount val="1"/>
                <c:pt idx="0">
                  <c:v>Revenue (Actual)</c:v>
                </c:pt>
              </c:strCache>
            </c:strRef>
          </c:tx>
          <c:spPr>
            <a:ln w="28000">
              <a:solidFill>
                <a:srgbClr val="1B2A4A"/>
              </a:solidFill>
              <a:prstDash val="solid"/>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Forecast!$C$5:$C$16</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smooth val="1"/>
          <c:extLst>
            <c:ext xmlns:c16="http://schemas.microsoft.com/office/drawing/2014/chart" uri="{C3380CC4-5D6E-409C-BE32-E72D297353CC}">
              <c16:uniqueId val="{00000000-F7C7-464F-9883-2A05F8DF0238}"/>
            </c:ext>
          </c:extLst>
        </c:ser>
        <c:ser>
          <c:idx val="1"/>
          <c:order val="1"/>
          <c:tx>
            <c:strRef>
              <c:f>Forecast!$D$4</c:f>
              <c:strCache>
                <c:ptCount val="1"/>
                <c:pt idx="0">
                  <c:v>Forecast Revenue</c:v>
                </c:pt>
              </c:strCache>
            </c:strRef>
          </c:tx>
          <c:spPr>
            <a:ln w="28000">
              <a:solidFill>
                <a:srgbClr val="E65100"/>
              </a:solidFill>
              <a:prstDash val="dash"/>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Forecast!$D$5:$D$22</c:f>
              <c:numCache>
                <c:formatCode>#,##0</c:formatCode>
                <c:ptCount val="18"/>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pt idx="14" formatCode="General">
                  <c:v>0</c:v>
                </c:pt>
                <c:pt idx="15" formatCode="General">
                  <c:v>239303.65777073501</c:v>
                </c:pt>
                <c:pt idx="16">
                  <c:v>249240.66565475243</c:v>
                </c:pt>
                <c:pt idx="17">
                  <c:v>259177.67353876986</c:v>
                </c:pt>
              </c:numCache>
            </c:numRef>
          </c:val>
          <c:smooth val="1"/>
          <c:extLst>
            <c:ext xmlns:c16="http://schemas.microsoft.com/office/drawing/2014/chart" uri="{C3380CC4-5D6E-409C-BE32-E72D297353CC}">
              <c16:uniqueId val="{00000001-F7C7-464F-9883-2A05F8DF0238}"/>
            </c:ext>
          </c:extLst>
        </c:ser>
        <c:ser>
          <c:idx val="2"/>
          <c:order val="2"/>
          <c:tx>
            <c:strRef>
              <c:f>Forecast!$G$4</c:f>
              <c:strCache>
                <c:ptCount val="1"/>
                <c:pt idx="0">
                  <c:v>Upper Bound</c:v>
                </c:pt>
              </c:strCache>
            </c:strRef>
          </c:tx>
          <c:spPr>
            <a:ln w="12000">
              <a:solidFill>
                <a:srgbClr val="A0A0A0"/>
              </a:solidFill>
              <a:prstDash val="dot"/>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Forecast!$G$5:$G$22</c:f>
              <c:numCache>
                <c:formatCode>General</c:formatCode>
                <c:ptCount val="18"/>
                <c:pt idx="14">
                  <c:v>0</c:v>
                </c:pt>
                <c:pt idx="15" formatCode="#,##0">
                  <c:v>251075.677286961</c:v>
                </c:pt>
                <c:pt idx="16" formatCode="#,##0">
                  <c:v>261012.73814494704</c:v>
                </c:pt>
                <c:pt idx="17" formatCode="#,##0">
                  <c:v>270949.84020432015</c:v>
                </c:pt>
              </c:numCache>
            </c:numRef>
          </c:val>
          <c:smooth val="1"/>
          <c:extLst>
            <c:ext xmlns:c16="http://schemas.microsoft.com/office/drawing/2014/chart" uri="{C3380CC4-5D6E-409C-BE32-E72D297353CC}">
              <c16:uniqueId val="{00000002-F7C7-464F-9883-2A05F8DF0238}"/>
            </c:ext>
          </c:extLst>
        </c:ser>
        <c:ser>
          <c:idx val="3"/>
          <c:order val="3"/>
          <c:tx>
            <c:strRef>
              <c:f>Forecast!$F$4</c:f>
              <c:strCache>
                <c:ptCount val="1"/>
                <c:pt idx="0">
                  <c:v>Lower Bound</c:v>
                </c:pt>
              </c:strCache>
            </c:strRef>
          </c:tx>
          <c:spPr>
            <a:ln w="12000">
              <a:solidFill>
                <a:srgbClr val="A0A0A0"/>
              </a:solidFill>
              <a:prstDash val="dot"/>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Forecast!$F$5:$F$22</c:f>
              <c:numCache>
                <c:formatCode>General</c:formatCode>
                <c:ptCount val="18"/>
                <c:pt idx="14">
                  <c:v>0</c:v>
                </c:pt>
                <c:pt idx="15" formatCode="#,##0">
                  <c:v>227531.63825450902</c:v>
                </c:pt>
                <c:pt idx="16" formatCode="#,##0">
                  <c:v>237468.59316455782</c:v>
                </c:pt>
                <c:pt idx="17" formatCode="#,##0">
                  <c:v>247405.50687321959</c:v>
                </c:pt>
              </c:numCache>
            </c:numRef>
          </c:val>
          <c:smooth val="1"/>
          <c:extLst>
            <c:ext xmlns:c16="http://schemas.microsoft.com/office/drawing/2014/chart" uri="{C3380CC4-5D6E-409C-BE32-E72D297353CC}">
              <c16:uniqueId val="{00000003-F7C7-464F-9883-2A05F8DF0238}"/>
            </c:ext>
          </c:extLst>
        </c:ser>
        <c:dLbls>
          <c:showLegendKey val="0"/>
          <c:showVal val="0"/>
          <c:showCatName val="0"/>
          <c:showSerName val="0"/>
          <c:showPercent val="0"/>
          <c:showBubbleSize val="0"/>
        </c:dLbls>
        <c:smooth val="0"/>
        <c:axId val="10"/>
        <c:axId val="100"/>
      </c:lineChart>
      <c:catAx>
        <c:axId val="10"/>
        <c:scaling>
          <c:orientation val="minMax"/>
        </c:scaling>
        <c:delete val="1"/>
        <c:axPos val="b"/>
        <c:title>
          <c:tx>
            <c:rich>
              <a:bodyPr/>
              <a:lstStyle/>
              <a:p>
                <a:pPr>
                  <a:defRPr/>
                </a:pPr>
                <a:r>
                  <a:rPr lang="en-IN"/>
                  <a:t>Period</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1"/>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Monthly Revenue Projection</a:t>
            </a:r>
          </a:p>
        </c:rich>
      </c:tx>
      <c:overlay val="1"/>
    </c:title>
    <c:autoTitleDeleted val="0"/>
    <c:plotArea>
      <c:layout/>
      <c:barChart>
        <c:barDir val="col"/>
        <c:grouping val="clustered"/>
        <c:varyColors val="1"/>
        <c:ser>
          <c:idx val="0"/>
          <c:order val="0"/>
          <c:tx>
            <c:strRef>
              <c:f>'What-If'!$B$11</c:f>
              <c:strCache>
                <c:ptCount val="1"/>
                <c:pt idx="0">
                  <c:v>Starting Revenue</c:v>
                </c:pt>
              </c:strCache>
            </c:strRef>
          </c:tx>
          <c:spPr>
            <a:solidFill>
              <a:srgbClr val="A0C4E8"/>
            </a:solidFill>
            <a:ln>
              <a:prstDash val="solid"/>
            </a:ln>
          </c:spPr>
          <c:invertIfNegative val="1"/>
          <c:cat>
            <c:strRef>
              <c:f>'What-If'!$A$12:$A$23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'What-If'!$B$12:$B$23</c:f>
              <c:numCache>
                <c:formatCode>#,##0</c:formatCode>
                <c:ptCount val="12"/>
                <c:pt idx="0">
                  <c:v>240000</c:v>
                </c:pt>
                <c:pt idx="1">
                  <c:v>252000</c:v>
                </c:pt>
                <c:pt idx="2">
                  <c:v>264600</c:v>
                </c:pt>
                <c:pt idx="3">
                  <c:v>277830</c:v>
                </c:pt>
                <c:pt idx="4">
                  <c:v>291721.5</c:v>
                </c:pt>
                <c:pt idx="5">
                  <c:v>306307.57500000001</c:v>
                </c:pt>
                <c:pt idx="6">
                  <c:v>321622.95375000004</c:v>
                </c:pt>
                <c:pt idx="7">
                  <c:v>337704.10143750004</c:v>
                </c:pt>
                <c:pt idx="8">
                  <c:v>354589.30650937505</c:v>
                </c:pt>
                <c:pt idx="9">
                  <c:v>372318.77183484379</c:v>
                </c:pt>
                <c:pt idx="10">
                  <c:v>390934.71042658598</c:v>
                </c:pt>
                <c:pt idx="11">
                  <c:v>410481.44594791532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4A6A-412B-9B09-9847C62E3DB8}"/>
            </c:ext>
          </c:extLst>
        </c:ser>
        <c:ser>
          <c:idx val="1"/>
          <c:order val="1"/>
          <c:tx>
            <c:strRef>
              <c:f>'What-If'!$C$11</c:f>
              <c:strCache>
                <c:ptCount val="1"/>
                <c:pt idx="0">
                  <c:v>Projected Revenue</c:v>
                </c:pt>
              </c:strCache>
            </c:strRef>
          </c:tx>
          <c:spPr>
            <a:solidFill>
              <a:srgbClr val="2E5090"/>
            </a:solidFill>
            <a:ln>
              <a:prstDash val="solid"/>
            </a:ln>
          </c:spPr>
          <c:invertIfNegative val="1"/>
          <c:dLbls>
            <c:spPr>
              <a:noFill/>
              <a:ln>
                <a:noFill/>
              </a:ln>
              <a:effectLst/>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'What-If'!$A$12:$A$23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'What-If'!$C$12:$C$23</c:f>
              <c:numCache>
                <c:formatCode>#,##0</c:formatCode>
                <c:ptCount val="12"/>
                <c:pt idx="0">
                  <c:v>252000</c:v>
                </c:pt>
                <c:pt idx="1">
                  <c:v>264600</c:v>
                </c:pt>
                <c:pt idx="2">
                  <c:v>277830</c:v>
                </c:pt>
                <c:pt idx="3">
                  <c:v>291721.5</c:v>
                </c:pt>
                <c:pt idx="4">
                  <c:v>306307.57500000001</c:v>
                </c:pt>
                <c:pt idx="5">
                  <c:v>321622.95375000004</c:v>
                </c:pt>
                <c:pt idx="6">
                  <c:v>337704.10143750004</c:v>
                </c:pt>
                <c:pt idx="7">
                  <c:v>354589.30650937505</c:v>
                </c:pt>
                <c:pt idx="8">
                  <c:v>372318.77183484379</c:v>
                </c:pt>
                <c:pt idx="9">
                  <c:v>390934.71042658598</c:v>
                </c:pt>
                <c:pt idx="10">
                  <c:v>410481.44594791532</c:v>
                </c:pt>
                <c:pt idx="11">
                  <c:v>431005.5182453111</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1-4A6A-412B-9B09-9847C62E3DB8}"/>
            </c:ext>
          </c:extLst>
        </c:ser>
        <c:dLbls>
          <c:showLegendKey val="0"/>
          <c:showVal val="0"/>
          <c:showCatName val="0"/>
          <c:showSerName val="0"/>
          <c:showPercent val="0"/>
          <c:showBubbleSize val="0"/>
        </c:dLbls>
        <c:gapWidth val="80"/>
        <c:axId val="10"/>
        <c:axId val="100"/>
      </c:bar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1"/>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160020</xdr:colOff>
      <xdr:row>73</xdr:row>
      <xdr:rowOff>106680</xdr:rowOff>
    </xdr:from>
    <xdr:to>
      <xdr:col>7</xdr:col>
      <xdr:colOff>1066800</xdr:colOff>
      <xdr:row>95</xdr:row>
      <xdr:rowOff>60960</xdr:rowOff>
    </xdr:to>
    <xdr:graphicFrame macro="">
      <xdr:nvGraphicFramePr>
        <xdr:cNvPr id="3" name="Chart 3">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116840</xdr:colOff>
      <xdr:row>48</xdr:row>
      <xdr:rowOff>2540</xdr:rowOff>
    </xdr:from>
    <xdr:ext cx="7556500" cy="3380740"/>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60960</xdr:colOff>
      <xdr:row>23</xdr:row>
      <xdr:rowOff>68580</xdr:rowOff>
    </xdr:from>
    <xdr:ext cx="7635240" cy="4152900"/>
    <xdr:graphicFrame macro="">
      <xdr:nvGraphicFramePr>
        <xdr:cNvPr id="4" name="Chart 2">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mc:AlternateContent xmlns:mc="http://schemas.openxmlformats.org/markup-compatibility/2006">
    <mc:Choice xmlns:a14="http://schemas.microsoft.com/office/drawing/2010/main" Requires="a14">
      <xdr:twoCellAnchor editAs="oneCell">
        <xdr:from>
          <xdr:col>1</xdr:col>
          <xdr:colOff>30480</xdr:colOff>
          <xdr:row>9</xdr:row>
          <xdr:rowOff>68580</xdr:rowOff>
        </xdr:from>
        <xdr:to>
          <xdr:col>11</xdr:col>
          <xdr:colOff>38100</xdr:colOff>
          <xdr:row>18</xdr:row>
          <xdr:rowOff>15240</xdr:rowOff>
        </xdr:to>
        <xdr:pic>
          <xdr:nvPicPr>
            <xdr:cNvPr id="5" name="Picture 4">
              <a:extLst>
                <a:ext uri="{FF2B5EF4-FFF2-40B4-BE49-F238E27FC236}">
                  <a16:creationId xmlns:a16="http://schemas.microsoft.com/office/drawing/2014/main" id="{EFFEC0CE-26B1-68C1-67D6-1C2E77F56050}"/>
                </a:ext>
              </a:extLst>
            </xdr:cNvPr>
            <xdr:cNvPicPr>
              <a:picLocks noChangeAspect="1" noChangeArrowheads="1"/>
              <a:extLst>
                <a:ext uri="{84589F7E-364E-4C9E-8A38-B11213B215E9}">
                  <a14:cameraTool cellRange="$B$3:$K$5" spid="_x0000_s2066"/>
                </a:ext>
              </a:extLst>
            </xdr:cNvPicPr>
          </xdr:nvPicPr>
          <xdr:blipFill>
            <a:blip xmlns:r="http://schemas.openxmlformats.org/officeDocument/2006/relationships" r:embed="rId4"/>
            <a:srcRect/>
            <a:stretch>
              <a:fillRect/>
            </a:stretch>
          </xdr:blipFill>
          <xdr:spPr bwMode="auto">
            <a:xfrm>
              <a:off x="304800" y="3718560"/>
              <a:ext cx="9791700" cy="1592580"/>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426720</xdr:rowOff>
        </xdr:from>
        <xdr:to>
          <xdr:col>14</xdr:col>
          <xdr:colOff>548640</xdr:colOff>
          <xdr:row>3</xdr:row>
          <xdr:rowOff>1074420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Export as PDF</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121920</xdr:colOff>
      <xdr:row>30</xdr:row>
      <xdr:rowOff>83820</xdr:rowOff>
    </xdr:from>
    <xdr:ext cx="7920000" cy="5040000"/>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28</xdr:row>
      <xdr:rowOff>0</xdr:rowOff>
    </xdr:from>
    <xdr:ext cx="7920000" cy="4680000"/>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1</xdr:row>
      <xdr:rowOff>175261</xdr:rowOff>
    </xdr:from>
    <xdr:to>
      <xdr:col>6</xdr:col>
      <xdr:colOff>0</xdr:colOff>
      <xdr:row>9</xdr:row>
      <xdr:rowOff>175260</xdr:rowOff>
    </xdr:to>
    <mc:AlternateContent xmlns:mc="http://schemas.openxmlformats.org/markup-compatibility/2006" xmlns:a14="http://schemas.microsoft.com/office/drawing/2010/main">
      <mc:Choice Requires="a14">
        <xdr:graphicFrame macro="">
          <xdr:nvGraphicFramePr>
            <xdr:cNvPr id="2" name="Quarter">
              <a:extLst>
                <a:ext uri="{FF2B5EF4-FFF2-40B4-BE49-F238E27FC236}">
                  <a16:creationId xmlns:a16="http://schemas.microsoft.com/office/drawing/2014/main" id="{C2493441-3ABA-314A-6F94-72DE853F53B2}"/>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491740" y="358141"/>
              <a:ext cx="1828800" cy="1463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8.650597916669" createdVersion="8" refreshedVersion="8" minRefreshableVersion="3" recordCount="12" xr:uid="{C11C4826-18DF-416C-9414-0497CA759E78}">
  <cacheSource type="worksheet">
    <worksheetSource name="SalesData"/>
  </cacheSource>
  <cacheFields count="7">
    <cacheField name="Month" numFmtId="0">
      <sharedItems/>
    </cacheField>
    <cacheField name="Revenue" numFmtId="3">
      <sharedItems containsSemiMixedTypes="0" containsString="0" containsNumber="1" containsInteger="1" minValue="120000" maxValue="240000"/>
    </cacheField>
    <cacheField name="Expenses" numFmtId="3">
      <sharedItems containsSemiMixedTypes="0" containsString="0" containsNumber="1" containsInteger="1" minValue="80000" maxValue="138000"/>
    </cacheField>
    <cacheField name="Leads" numFmtId="3">
      <sharedItems containsSemiMixedTypes="0" containsString="0" containsNumber="1" containsInteger="1" minValue="450" maxValue="900"/>
    </cacheField>
    <cacheField name="Orders" numFmtId="3">
      <sharedItems containsSemiMixedTypes="0" containsString="0" containsNumber="1" containsInteger="1" minValue="90" maxValue="182"/>
    </cacheField>
    <cacheField name="Month Num" numFmtId="1">
      <sharedItems containsSemiMixedTypes="0" containsString="0" containsNumber="1" containsInteger="1" minValue="1" maxValue="12"/>
    </cacheField>
    <cacheField name="Quarter" numFmtId="0">
      <sharedItems count="4">
        <s v="Q1"/>
        <s v="Q2"/>
        <s v="Q3"/>
        <s v="Q4"/>
      </sharedItems>
    </cacheField>
  </cacheFields>
  <extLst>
    <ext xmlns:x14="http://schemas.microsoft.com/office/spreadsheetml/2009/9/main" uri="{725AE2AE-9491-48be-B2B4-4EB974FC3084}">
      <x14:pivotCacheDefinition pivotCacheId="20586957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Jan"/>
    <n v="120000"/>
    <n v="80000"/>
    <n v="450"/>
    <n v="90"/>
    <n v="1"/>
    <x v="0"/>
  </r>
  <r>
    <s v="Feb"/>
    <n v="135000"/>
    <n v="85000"/>
    <n v="500"/>
    <n v="100"/>
    <n v="2"/>
    <x v="0"/>
  </r>
  <r>
    <s v="Mar"/>
    <n v="128000"/>
    <n v="82000"/>
    <n v="470"/>
    <n v="95"/>
    <n v="3"/>
    <x v="0"/>
  </r>
  <r>
    <s v="Apr"/>
    <n v="150000"/>
    <n v="90000"/>
    <n v="560"/>
    <n v="110"/>
    <n v="4"/>
    <x v="1"/>
  </r>
  <r>
    <s v="May"/>
    <n v="165000"/>
    <n v="98000"/>
    <n v="620"/>
    <n v="125"/>
    <n v="5"/>
    <x v="1"/>
  </r>
  <r>
    <s v="Jun"/>
    <n v="172000"/>
    <n v="102000"/>
    <n v="650"/>
    <n v="130"/>
    <n v="6"/>
    <x v="1"/>
  </r>
  <r>
    <s v="Jul"/>
    <n v="180000"/>
    <n v="108000"/>
    <n v="690"/>
    <n v="138"/>
    <n v="7"/>
    <x v="2"/>
  </r>
  <r>
    <s v="Aug"/>
    <n v="176000"/>
    <n v="105000"/>
    <n v="670"/>
    <n v="134"/>
    <n v="8"/>
    <x v="2"/>
  </r>
  <r>
    <s v="Sep"/>
    <n v="190000"/>
    <n v="112000"/>
    <n v="720"/>
    <n v="145"/>
    <n v="9"/>
    <x v="2"/>
  </r>
  <r>
    <s v="Oct"/>
    <n v="205000"/>
    <n v="118000"/>
    <n v="780"/>
    <n v="158"/>
    <n v="10"/>
    <x v="3"/>
  </r>
  <r>
    <s v="Nov"/>
    <n v="218000"/>
    <n v="125000"/>
    <n v="820"/>
    <n v="165"/>
    <n v="11"/>
    <x v="3"/>
  </r>
  <r>
    <s v="Dec"/>
    <n v="240000"/>
    <n v="138000"/>
    <n v="900"/>
    <n v="182"/>
    <n v="1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F09973-B8B3-4218-AE3E-6CF2DCBFE02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7">
    <pivotField showAll="0"/>
    <pivotField dataField="1" numFmtId="3" showAll="0"/>
    <pivotField numFmtId="3" showAll="0"/>
    <pivotField numFmtId="3" showAll="0"/>
    <pivotField numFmtId="3" showAll="0"/>
    <pivotField numFmtId="1" showAll="0"/>
    <pivotField axis="axisRow" showAll="0">
      <items count="5">
        <item x="0"/>
        <item x="1"/>
        <item x="2"/>
        <item x="3"/>
        <item t="default"/>
      </items>
    </pivotField>
  </pivotFields>
  <rowFields count="1">
    <field x="6"/>
  </rowFields>
  <rowItems count="5">
    <i>
      <x/>
    </i>
    <i>
      <x v="1"/>
    </i>
    <i>
      <x v="2"/>
    </i>
    <i>
      <x v="3"/>
    </i>
    <i t="grand">
      <x/>
    </i>
  </rowItems>
  <colItems count="1">
    <i/>
  </colItems>
  <dataFields count="1">
    <dataField name="Sum of Revenue" fld="1" baseField="0" baseItem="0" numFmtId="3"/>
  </dataFields>
  <formats count="12">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A49C5745-A04E-42C5-8A65-C03B1501B7BC}" sourceName="Quarter">
  <pivotTables>
    <pivotTable tabId="8" name="PivotTable1"/>
  </pivotTables>
  <data>
    <tabular pivotCacheId="205869575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43D021A3-D4A0-4DF4-9141-D7B4F80952C2}" cache="Slicer_Quarter" caption="Quart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G13">
  <autoFilter ref="A1:G13" xr:uid="{00000000-0009-0000-0100-000001000000}"/>
  <tableColumns count="7">
    <tableColumn id="1" xr3:uid="{00000000-0010-0000-0000-000001000000}" name="Month"/>
    <tableColumn id="2" xr3:uid="{00000000-0010-0000-0000-000002000000}" name="Revenue"/>
    <tableColumn id="3" xr3:uid="{00000000-0010-0000-0000-000003000000}" name="Expenses"/>
    <tableColumn id="4" xr3:uid="{00000000-0010-0000-0000-000004000000}" name="Leads"/>
    <tableColumn id="5" xr3:uid="{00000000-0010-0000-0000-000005000000}" name="Orders"/>
    <tableColumn id="6" xr3:uid="{00000000-0010-0000-0000-000006000000}" name="Month Num"/>
    <tableColumn id="7" xr3:uid="{00000000-0010-0000-0000-000007000000}" name="Quarter"/>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C757D"/>
  </sheetPr>
  <dimension ref="A1:G13"/>
  <sheetViews>
    <sheetView workbookViewId="0">
      <selection activeCell="F18" sqref="F18"/>
    </sheetView>
  </sheetViews>
  <sheetFormatPr defaultRowHeight="14.4" x14ac:dyDescent="0.3"/>
  <cols>
    <col min="1" max="1" width="12" customWidth="1"/>
    <col min="2" max="5" width="18" customWidth="1"/>
    <col min="6" max="6" width="12" customWidth="1"/>
    <col min="7" max="7" width="10" customWidth="1"/>
  </cols>
  <sheetData>
    <row r="1" spans="1:7" x14ac:dyDescent="0.3">
      <c r="A1" s="1" t="s">
        <v>3</v>
      </c>
      <c r="B1" s="1" t="s">
        <v>31</v>
      </c>
      <c r="C1" s="1" t="s">
        <v>32</v>
      </c>
      <c r="D1" s="1" t="s">
        <v>33</v>
      </c>
      <c r="E1" s="1" t="s">
        <v>34</v>
      </c>
      <c r="F1" s="47" t="s">
        <v>35</v>
      </c>
      <c r="G1" s="47" t="s">
        <v>36</v>
      </c>
    </row>
    <row r="2" spans="1:7" x14ac:dyDescent="0.3">
      <c r="A2" s="2" t="s">
        <v>9</v>
      </c>
      <c r="B2" s="3">
        <v>120000</v>
      </c>
      <c r="C2" s="3">
        <v>80000</v>
      </c>
      <c r="D2" s="3">
        <v>450</v>
      </c>
      <c r="E2" s="3">
        <v>90</v>
      </c>
      <c r="F2" s="48">
        <f>MATCH(A2,{"Jan","Feb","Mar","Apr","May","Jun","Jul","Aug","Sep","Oct","Nov","Dec"},0)</f>
        <v>1</v>
      </c>
      <c r="G2" s="32" t="str">
        <f>"Q"&amp;ROUNDUP(MATCH(A2,{"Jan","Feb","Mar","Apr","May","Jun","Jul","Aug","Sep","Oct","Nov","Dec"},0)/3,0)</f>
        <v>Q1</v>
      </c>
    </row>
    <row r="3" spans="1:7" x14ac:dyDescent="0.3">
      <c r="A3" s="2" t="s">
        <v>10</v>
      </c>
      <c r="B3" s="3">
        <v>135000</v>
      </c>
      <c r="C3" s="3">
        <v>85000</v>
      </c>
      <c r="D3" s="3">
        <v>500</v>
      </c>
      <c r="E3" s="3">
        <v>100</v>
      </c>
      <c r="F3" s="48">
        <f>MATCH(A3,{"Jan","Feb","Mar","Apr","May","Jun","Jul","Aug","Sep","Oct","Nov","Dec"},0)</f>
        <v>2</v>
      </c>
      <c r="G3" s="32" t="str">
        <f>"Q"&amp;ROUNDUP(MATCH(A3,{"Jan","Feb","Mar","Apr","May","Jun","Jul","Aug","Sep","Oct","Nov","Dec"},0)/3,0)</f>
        <v>Q1</v>
      </c>
    </row>
    <row r="4" spans="1:7" x14ac:dyDescent="0.3">
      <c r="A4" s="2" t="s">
        <v>11</v>
      </c>
      <c r="B4" s="3">
        <v>128000</v>
      </c>
      <c r="C4" s="3">
        <v>82000</v>
      </c>
      <c r="D4" s="3">
        <v>470</v>
      </c>
      <c r="E4" s="3">
        <v>95</v>
      </c>
      <c r="F4" s="48">
        <f>MATCH(A4,{"Jan","Feb","Mar","Apr","May","Jun","Jul","Aug","Sep","Oct","Nov","Dec"},0)</f>
        <v>3</v>
      </c>
      <c r="G4" s="32" t="str">
        <f>"Q"&amp;ROUNDUP(MATCH(A4,{"Jan","Feb","Mar","Apr","May","Jun","Jul","Aug","Sep","Oct","Nov","Dec"},0)/3,0)</f>
        <v>Q1</v>
      </c>
    </row>
    <row r="5" spans="1:7" x14ac:dyDescent="0.3">
      <c r="A5" s="2" t="s">
        <v>12</v>
      </c>
      <c r="B5" s="3">
        <v>150000</v>
      </c>
      <c r="C5" s="3">
        <v>90000</v>
      </c>
      <c r="D5" s="3">
        <v>560</v>
      </c>
      <c r="E5" s="3">
        <v>110</v>
      </c>
      <c r="F5" s="48">
        <f>MATCH(A5,{"Jan","Feb","Mar","Apr","May","Jun","Jul","Aug","Sep","Oct","Nov","Dec"},0)</f>
        <v>4</v>
      </c>
      <c r="G5" s="32" t="str">
        <f>"Q"&amp;ROUNDUP(MATCH(A5,{"Jan","Feb","Mar","Apr","May","Jun","Jul","Aug","Sep","Oct","Nov","Dec"},0)/3,0)</f>
        <v>Q2</v>
      </c>
    </row>
    <row r="6" spans="1:7" x14ac:dyDescent="0.3">
      <c r="A6" s="2" t="s">
        <v>13</v>
      </c>
      <c r="B6" s="3">
        <v>165000</v>
      </c>
      <c r="C6" s="3">
        <v>98000</v>
      </c>
      <c r="D6" s="3">
        <v>620</v>
      </c>
      <c r="E6" s="3">
        <v>125</v>
      </c>
      <c r="F6" s="48">
        <f>MATCH(A6,{"Jan","Feb","Mar","Apr","May","Jun","Jul","Aug","Sep","Oct","Nov","Dec"},0)</f>
        <v>5</v>
      </c>
      <c r="G6" s="32" t="str">
        <f>"Q"&amp;ROUNDUP(MATCH(A6,{"Jan","Feb","Mar","Apr","May","Jun","Jul","Aug","Sep","Oct","Nov","Dec"},0)/3,0)</f>
        <v>Q2</v>
      </c>
    </row>
    <row r="7" spans="1:7" x14ac:dyDescent="0.3">
      <c r="A7" s="2" t="s">
        <v>14</v>
      </c>
      <c r="B7" s="3">
        <v>172000</v>
      </c>
      <c r="C7" s="3">
        <v>102000</v>
      </c>
      <c r="D7" s="3">
        <v>650</v>
      </c>
      <c r="E7" s="3">
        <v>130</v>
      </c>
      <c r="F7" s="48">
        <f>MATCH(A7,{"Jan","Feb","Mar","Apr","May","Jun","Jul","Aug","Sep","Oct","Nov","Dec"},0)</f>
        <v>6</v>
      </c>
      <c r="G7" s="32" t="str">
        <f>"Q"&amp;ROUNDUP(MATCH(A7,{"Jan","Feb","Mar","Apr","May","Jun","Jul","Aug","Sep","Oct","Nov","Dec"},0)/3,0)</f>
        <v>Q2</v>
      </c>
    </row>
    <row r="8" spans="1:7" x14ac:dyDescent="0.3">
      <c r="A8" s="2" t="s">
        <v>15</v>
      </c>
      <c r="B8" s="3">
        <v>180000</v>
      </c>
      <c r="C8" s="3">
        <v>108000</v>
      </c>
      <c r="D8" s="3">
        <v>690</v>
      </c>
      <c r="E8" s="3">
        <v>138</v>
      </c>
      <c r="F8" s="48">
        <f>MATCH(A8,{"Jan","Feb","Mar","Apr","May","Jun","Jul","Aug","Sep","Oct","Nov","Dec"},0)</f>
        <v>7</v>
      </c>
      <c r="G8" s="32" t="str">
        <f>"Q"&amp;ROUNDUP(MATCH(A8,{"Jan","Feb","Mar","Apr","May","Jun","Jul","Aug","Sep","Oct","Nov","Dec"},0)/3,0)</f>
        <v>Q3</v>
      </c>
    </row>
    <row r="9" spans="1:7" x14ac:dyDescent="0.3">
      <c r="A9" s="2" t="s">
        <v>16</v>
      </c>
      <c r="B9" s="3">
        <v>176000</v>
      </c>
      <c r="C9" s="3">
        <v>105000</v>
      </c>
      <c r="D9" s="3">
        <v>670</v>
      </c>
      <c r="E9" s="3">
        <v>134</v>
      </c>
      <c r="F9" s="48">
        <f>MATCH(A9,{"Jan","Feb","Mar","Apr","May","Jun","Jul","Aug","Sep","Oct","Nov","Dec"},0)</f>
        <v>8</v>
      </c>
      <c r="G9" s="32" t="str">
        <f>"Q"&amp;ROUNDUP(MATCH(A9,{"Jan","Feb","Mar","Apr","May","Jun","Jul","Aug","Sep","Oct","Nov","Dec"},0)/3,0)</f>
        <v>Q3</v>
      </c>
    </row>
    <row r="10" spans="1:7" x14ac:dyDescent="0.3">
      <c r="A10" s="2" t="s">
        <v>17</v>
      </c>
      <c r="B10" s="3">
        <v>190000</v>
      </c>
      <c r="C10" s="3">
        <v>112000</v>
      </c>
      <c r="D10" s="3">
        <v>720</v>
      </c>
      <c r="E10" s="3">
        <v>145</v>
      </c>
      <c r="F10" s="48">
        <f>MATCH(A10,{"Jan","Feb","Mar","Apr","May","Jun","Jul","Aug","Sep","Oct","Nov","Dec"},0)</f>
        <v>9</v>
      </c>
      <c r="G10" s="32" t="str">
        <f>"Q"&amp;ROUNDUP(MATCH(A10,{"Jan","Feb","Mar","Apr","May","Jun","Jul","Aug","Sep","Oct","Nov","Dec"},0)/3,0)</f>
        <v>Q3</v>
      </c>
    </row>
    <row r="11" spans="1:7" x14ac:dyDescent="0.3">
      <c r="A11" s="2" t="s">
        <v>18</v>
      </c>
      <c r="B11" s="3">
        <v>205000</v>
      </c>
      <c r="C11" s="3">
        <v>118000</v>
      </c>
      <c r="D11" s="3">
        <v>780</v>
      </c>
      <c r="E11" s="3">
        <v>158</v>
      </c>
      <c r="F11" s="48">
        <f>MATCH(A11,{"Jan","Feb","Mar","Apr","May","Jun","Jul","Aug","Sep","Oct","Nov","Dec"},0)</f>
        <v>10</v>
      </c>
      <c r="G11" s="32" t="str">
        <f>"Q"&amp;ROUNDUP(MATCH(A11,{"Jan","Feb","Mar","Apr","May","Jun","Jul","Aug","Sep","Oct","Nov","Dec"},0)/3,0)</f>
        <v>Q4</v>
      </c>
    </row>
    <row r="12" spans="1:7" x14ac:dyDescent="0.3">
      <c r="A12" s="2" t="s">
        <v>19</v>
      </c>
      <c r="B12" s="3">
        <v>218000</v>
      </c>
      <c r="C12" s="3">
        <v>125000</v>
      </c>
      <c r="D12" s="3">
        <v>820</v>
      </c>
      <c r="E12" s="3">
        <v>165</v>
      </c>
      <c r="F12" s="48">
        <f>MATCH(A12,{"Jan","Feb","Mar","Apr","May","Jun","Jul","Aug","Sep","Oct","Nov","Dec"},0)</f>
        <v>11</v>
      </c>
      <c r="G12" s="32" t="str">
        <f>"Q"&amp;ROUNDUP(MATCH(A12,{"Jan","Feb","Mar","Apr","May","Jun","Jul","Aug","Sep","Oct","Nov","Dec"},0)/3,0)</f>
        <v>Q4</v>
      </c>
    </row>
    <row r="13" spans="1:7" x14ac:dyDescent="0.3">
      <c r="A13" s="2" t="s">
        <v>20</v>
      </c>
      <c r="B13" s="3">
        <v>240000</v>
      </c>
      <c r="C13" s="3">
        <v>138000</v>
      </c>
      <c r="D13" s="3">
        <v>900</v>
      </c>
      <c r="E13" s="3">
        <v>182</v>
      </c>
      <c r="F13" s="48">
        <f>MATCH(A13,{"Jan","Feb","Mar","Apr","May","Jun","Jul","Aug","Sep","Oct","Nov","Dec"},0)</f>
        <v>12</v>
      </c>
      <c r="G13" s="32" t="str">
        <f>"Q"&amp;ROUNDUP(MATCH(A13,{"Jan","Feb","Mar","Apr","May","Jun","Jul","Aug","Sep","Oct","Nov","Dec"},0)/3,0)</f>
        <v>Q4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5090"/>
  </sheetPr>
  <dimension ref="A1:H14"/>
  <sheetViews>
    <sheetView tabSelected="1" workbookViewId="0">
      <selection activeCell="D21" sqref="D21"/>
    </sheetView>
  </sheetViews>
  <sheetFormatPr defaultRowHeight="14.4" x14ac:dyDescent="0.3"/>
  <cols>
    <col min="1" max="1" width="14" customWidth="1"/>
    <col min="2" max="8" width="18" customWidth="1"/>
  </cols>
  <sheetData>
    <row r="1" spans="1:8" x14ac:dyDescent="0.3">
      <c r="A1" s="4" t="s">
        <v>3</v>
      </c>
      <c r="B1" s="4" t="s">
        <v>31</v>
      </c>
      <c r="C1" s="4" t="s">
        <v>32</v>
      </c>
      <c r="D1" s="4" t="s">
        <v>37</v>
      </c>
      <c r="E1" s="4" t="s">
        <v>33</v>
      </c>
      <c r="F1" s="4" t="s">
        <v>34</v>
      </c>
      <c r="G1" s="4" t="s">
        <v>38</v>
      </c>
      <c r="H1" s="4" t="s">
        <v>39</v>
      </c>
    </row>
    <row r="2" spans="1:8" x14ac:dyDescent="0.3">
      <c r="A2" s="2" t="str">
        <f>'Source Data'!A2</f>
        <v>Jan</v>
      </c>
      <c r="B2" s="3">
        <f>'Source Data'!B2</f>
        <v>120000</v>
      </c>
      <c r="C2" s="3">
        <f>'Source Data'!C2</f>
        <v>80000</v>
      </c>
      <c r="D2" s="3">
        <f t="shared" ref="D2:D13" si="0">B2-C2</f>
        <v>40000</v>
      </c>
      <c r="E2" s="3">
        <f>'Source Data'!D2</f>
        <v>450</v>
      </c>
      <c r="F2" s="3">
        <f>'Source Data'!E2</f>
        <v>90</v>
      </c>
      <c r="G2" s="5">
        <f t="shared" ref="G2:G14" si="1">IF(B2=0,"",D2/B2)</f>
        <v>0.33333333333333331</v>
      </c>
      <c r="H2" s="5" t="s">
        <v>40</v>
      </c>
    </row>
    <row r="3" spans="1:8" x14ac:dyDescent="0.3">
      <c r="A3" s="2" t="str">
        <f>'Source Data'!A3</f>
        <v>Feb</v>
      </c>
      <c r="B3" s="3">
        <f>'Source Data'!B3</f>
        <v>135000</v>
      </c>
      <c r="C3" s="3">
        <f>'Source Data'!C3</f>
        <v>85000</v>
      </c>
      <c r="D3" s="3">
        <f t="shared" si="0"/>
        <v>50000</v>
      </c>
      <c r="E3" s="3">
        <f>'Source Data'!D3</f>
        <v>500</v>
      </c>
      <c r="F3" s="3">
        <f>'Source Data'!E3</f>
        <v>100</v>
      </c>
      <c r="G3" s="5">
        <f t="shared" si="1"/>
        <v>0.37037037037037035</v>
      </c>
      <c r="H3" s="5">
        <f t="shared" ref="H3:H13" si="2">IF(B2=0,"",(B3-B2)/B2)</f>
        <v>0.125</v>
      </c>
    </row>
    <row r="4" spans="1:8" x14ac:dyDescent="0.3">
      <c r="A4" s="2" t="str">
        <f>'Source Data'!A4</f>
        <v>Mar</v>
      </c>
      <c r="B4" s="3">
        <f>'Source Data'!B4</f>
        <v>128000</v>
      </c>
      <c r="C4" s="3">
        <f>'Source Data'!C4</f>
        <v>82000</v>
      </c>
      <c r="D4" s="3">
        <f t="shared" si="0"/>
        <v>46000</v>
      </c>
      <c r="E4" s="3">
        <f>'Source Data'!D4</f>
        <v>470</v>
      </c>
      <c r="F4" s="3">
        <f>'Source Data'!E4</f>
        <v>95</v>
      </c>
      <c r="G4" s="5">
        <f t="shared" si="1"/>
        <v>0.359375</v>
      </c>
      <c r="H4" s="5">
        <f t="shared" si="2"/>
        <v>-5.185185185185185E-2</v>
      </c>
    </row>
    <row r="5" spans="1:8" x14ac:dyDescent="0.3">
      <c r="A5" s="2" t="str">
        <f>'Source Data'!A5</f>
        <v>Apr</v>
      </c>
      <c r="B5" s="3">
        <f>'Source Data'!B5</f>
        <v>150000</v>
      </c>
      <c r="C5" s="3">
        <f>'Source Data'!C5</f>
        <v>90000</v>
      </c>
      <c r="D5" s="3">
        <f t="shared" si="0"/>
        <v>60000</v>
      </c>
      <c r="E5" s="3">
        <f>'Source Data'!D5</f>
        <v>560</v>
      </c>
      <c r="F5" s="3">
        <f>'Source Data'!E5</f>
        <v>110</v>
      </c>
      <c r="G5" s="5">
        <f t="shared" si="1"/>
        <v>0.4</v>
      </c>
      <c r="H5" s="5">
        <f t="shared" si="2"/>
        <v>0.171875</v>
      </c>
    </row>
    <row r="6" spans="1:8" x14ac:dyDescent="0.3">
      <c r="A6" s="2" t="str">
        <f>'Source Data'!A6</f>
        <v>May</v>
      </c>
      <c r="B6" s="3">
        <f>'Source Data'!B6</f>
        <v>165000</v>
      </c>
      <c r="C6" s="3">
        <f>'Source Data'!C6</f>
        <v>98000</v>
      </c>
      <c r="D6" s="3">
        <f t="shared" si="0"/>
        <v>67000</v>
      </c>
      <c r="E6" s="3">
        <f>'Source Data'!D6</f>
        <v>620</v>
      </c>
      <c r="F6" s="3">
        <f>'Source Data'!E6</f>
        <v>125</v>
      </c>
      <c r="G6" s="5">
        <f t="shared" si="1"/>
        <v>0.40606060606060607</v>
      </c>
      <c r="H6" s="5">
        <f t="shared" si="2"/>
        <v>0.1</v>
      </c>
    </row>
    <row r="7" spans="1:8" x14ac:dyDescent="0.3">
      <c r="A7" s="2" t="str">
        <f>'Source Data'!A7</f>
        <v>Jun</v>
      </c>
      <c r="B7" s="3">
        <f>'Source Data'!B7</f>
        <v>172000</v>
      </c>
      <c r="C7" s="3">
        <f>'Source Data'!C7</f>
        <v>102000</v>
      </c>
      <c r="D7" s="3">
        <f t="shared" si="0"/>
        <v>70000</v>
      </c>
      <c r="E7" s="3">
        <f>'Source Data'!D7</f>
        <v>650</v>
      </c>
      <c r="F7" s="3">
        <f>'Source Data'!E7</f>
        <v>130</v>
      </c>
      <c r="G7" s="5">
        <f t="shared" si="1"/>
        <v>0.40697674418604651</v>
      </c>
      <c r="H7" s="5">
        <f t="shared" si="2"/>
        <v>4.2424242424242427E-2</v>
      </c>
    </row>
    <row r="8" spans="1:8" x14ac:dyDescent="0.3">
      <c r="A8" s="2" t="str">
        <f>'Source Data'!A8</f>
        <v>Jul</v>
      </c>
      <c r="B8" s="3">
        <f>'Source Data'!B8</f>
        <v>180000</v>
      </c>
      <c r="C8" s="3">
        <f>'Source Data'!C8</f>
        <v>108000</v>
      </c>
      <c r="D8" s="3">
        <f t="shared" si="0"/>
        <v>72000</v>
      </c>
      <c r="E8" s="3">
        <f>'Source Data'!D8</f>
        <v>690</v>
      </c>
      <c r="F8" s="3">
        <f>'Source Data'!E8</f>
        <v>138</v>
      </c>
      <c r="G8" s="5">
        <f t="shared" si="1"/>
        <v>0.4</v>
      </c>
      <c r="H8" s="5">
        <f t="shared" si="2"/>
        <v>4.6511627906976744E-2</v>
      </c>
    </row>
    <row r="9" spans="1:8" x14ac:dyDescent="0.3">
      <c r="A9" s="2" t="str">
        <f>'Source Data'!A9</f>
        <v>Aug</v>
      </c>
      <c r="B9" s="3">
        <f>'Source Data'!B9</f>
        <v>176000</v>
      </c>
      <c r="C9" s="3">
        <f>'Source Data'!C9</f>
        <v>105000</v>
      </c>
      <c r="D9" s="3">
        <f t="shared" si="0"/>
        <v>71000</v>
      </c>
      <c r="E9" s="3">
        <f>'Source Data'!D9</f>
        <v>670</v>
      </c>
      <c r="F9" s="3">
        <f>'Source Data'!E9</f>
        <v>134</v>
      </c>
      <c r="G9" s="5">
        <f t="shared" si="1"/>
        <v>0.40340909090909088</v>
      </c>
      <c r="H9" s="5">
        <f t="shared" si="2"/>
        <v>-2.2222222222222223E-2</v>
      </c>
    </row>
    <row r="10" spans="1:8" x14ac:dyDescent="0.3">
      <c r="A10" s="2" t="str">
        <f>'Source Data'!A10</f>
        <v>Sep</v>
      </c>
      <c r="B10" s="3">
        <f>'Source Data'!B10</f>
        <v>190000</v>
      </c>
      <c r="C10" s="3">
        <f>'Source Data'!C10</f>
        <v>112000</v>
      </c>
      <c r="D10" s="3">
        <f t="shared" si="0"/>
        <v>78000</v>
      </c>
      <c r="E10" s="3">
        <f>'Source Data'!D10</f>
        <v>720</v>
      </c>
      <c r="F10" s="3">
        <f>'Source Data'!E10</f>
        <v>145</v>
      </c>
      <c r="G10" s="5">
        <f t="shared" si="1"/>
        <v>0.41052631578947368</v>
      </c>
      <c r="H10" s="5">
        <f t="shared" si="2"/>
        <v>7.9545454545454544E-2</v>
      </c>
    </row>
    <row r="11" spans="1:8" x14ac:dyDescent="0.3">
      <c r="A11" s="2" t="str">
        <f>'Source Data'!A11</f>
        <v>Oct</v>
      </c>
      <c r="B11" s="3">
        <f>'Source Data'!B11</f>
        <v>205000</v>
      </c>
      <c r="C11" s="3">
        <f>'Source Data'!C11</f>
        <v>118000</v>
      </c>
      <c r="D11" s="3">
        <f t="shared" si="0"/>
        <v>87000</v>
      </c>
      <c r="E11" s="3">
        <f>'Source Data'!D11</f>
        <v>780</v>
      </c>
      <c r="F11" s="3">
        <f>'Source Data'!E11</f>
        <v>158</v>
      </c>
      <c r="G11" s="5">
        <f t="shared" si="1"/>
        <v>0.42439024390243901</v>
      </c>
      <c r="H11" s="5">
        <f t="shared" si="2"/>
        <v>7.8947368421052627E-2</v>
      </c>
    </row>
    <row r="12" spans="1:8" x14ac:dyDescent="0.3">
      <c r="A12" s="2" t="str">
        <f>'Source Data'!A12</f>
        <v>Nov</v>
      </c>
      <c r="B12" s="3">
        <f>'Source Data'!B12</f>
        <v>218000</v>
      </c>
      <c r="C12" s="3">
        <f>'Source Data'!C12</f>
        <v>125000</v>
      </c>
      <c r="D12" s="3">
        <f t="shared" si="0"/>
        <v>93000</v>
      </c>
      <c r="E12" s="3">
        <f>'Source Data'!D12</f>
        <v>820</v>
      </c>
      <c r="F12" s="3">
        <f>'Source Data'!E12</f>
        <v>165</v>
      </c>
      <c r="G12" s="5">
        <f t="shared" si="1"/>
        <v>0.42660550458715596</v>
      </c>
      <c r="H12" s="5">
        <f t="shared" si="2"/>
        <v>6.3414634146341464E-2</v>
      </c>
    </row>
    <row r="13" spans="1:8" x14ac:dyDescent="0.3">
      <c r="A13" s="2" t="str">
        <f>'Source Data'!A13</f>
        <v>Dec</v>
      </c>
      <c r="B13" s="3">
        <f>'Source Data'!B13</f>
        <v>240000</v>
      </c>
      <c r="C13" s="3">
        <f>'Source Data'!C13</f>
        <v>138000</v>
      </c>
      <c r="D13" s="3">
        <f t="shared" si="0"/>
        <v>102000</v>
      </c>
      <c r="E13" s="3">
        <f>'Source Data'!D13</f>
        <v>900</v>
      </c>
      <c r="F13" s="3">
        <f>'Source Data'!E13</f>
        <v>182</v>
      </c>
      <c r="G13" s="5">
        <f t="shared" si="1"/>
        <v>0.42499999999999999</v>
      </c>
      <c r="H13" s="5">
        <f t="shared" si="2"/>
        <v>0.10091743119266056</v>
      </c>
    </row>
    <row r="14" spans="1:8" x14ac:dyDescent="0.3">
      <c r="A14" s="6" t="s">
        <v>41</v>
      </c>
      <c r="B14" s="7">
        <f>SUM(B2:B13)</f>
        <v>2079000</v>
      </c>
      <c r="C14" s="7">
        <f>SUM(C2:C13)</f>
        <v>1243000</v>
      </c>
      <c r="D14" s="7">
        <f>SUM(D2:D13)</f>
        <v>836000</v>
      </c>
      <c r="E14" s="7">
        <f>SUM(E2:E13)</f>
        <v>7830</v>
      </c>
      <c r="F14" s="7">
        <f>SUM(F2:F13)</f>
        <v>1572</v>
      </c>
      <c r="G14" s="8">
        <f t="shared" si="1"/>
        <v>0.40211640211640209</v>
      </c>
      <c r="H14" s="6" t="s">
        <v>40</v>
      </c>
    </row>
  </sheetData>
  <conditionalFormatting sqref="G2:G13">
    <cfRule type="dataBar" priority="5">
      <dataBar>
        <cfvo type="min"/>
        <cfvo type="max"/>
        <color rgb="FF638EC6"/>
      </dataBar>
    </cfRule>
  </conditionalFormatting>
  <conditionalFormatting sqref="G2:G14">
    <cfRule type="cellIs" dxfId="15" priority="1" operator="greaterThan">
      <formula>0.5</formula>
    </cfRule>
    <cfRule type="cellIs" dxfId="14" priority="2" operator="lessThan">
      <formula>0.2</formula>
    </cfRule>
  </conditionalFormatting>
  <conditionalFormatting sqref="H2:H14">
    <cfRule type="cellIs" dxfId="13" priority="3" operator="greaterThan">
      <formula>0</formula>
    </cfRule>
    <cfRule type="cellIs" dxfId="12" priority="4" operator="lessThan">
      <formula>0</formula>
    </cfRule>
  </conditionalFormatting>
  <conditionalFormatting sqref="H3:H13">
    <cfRule type="iconSet" priority="6">
      <iconSet>
        <cfvo type="percent" val="0"/>
        <cfvo type="percent" val="33"/>
        <cfvo type="percent" val="67"/>
      </iconSet>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4D8"/>
  </sheetPr>
  <dimension ref="A1:C49"/>
  <sheetViews>
    <sheetView topLeftCell="A20" zoomScale="102" zoomScaleNormal="102" workbookViewId="0">
      <selection activeCell="J44" sqref="J44"/>
    </sheetView>
  </sheetViews>
  <sheetFormatPr defaultRowHeight="14.4" x14ac:dyDescent="0.3"/>
  <cols>
    <col min="1" max="1" width="14" customWidth="1"/>
    <col min="2" max="3" width="18" customWidth="1"/>
  </cols>
  <sheetData>
    <row r="1" spans="1:3" x14ac:dyDescent="0.3">
      <c r="A1" s="65" t="s">
        <v>42</v>
      </c>
      <c r="B1" s="54"/>
    </row>
    <row r="2" spans="1:3" x14ac:dyDescent="0.3">
      <c r="A2" s="10" t="s">
        <v>3</v>
      </c>
      <c r="B2" s="10" t="s">
        <v>31</v>
      </c>
    </row>
    <row r="3" spans="1:3" x14ac:dyDescent="0.3">
      <c r="A3" s="11" t="str">
        <f>'Source Data'!A2</f>
        <v>Jan</v>
      </c>
      <c r="B3" s="12">
        <f>'Source Data'!B2</f>
        <v>120000</v>
      </c>
    </row>
    <row r="4" spans="1:3" x14ac:dyDescent="0.3">
      <c r="A4" s="11" t="str">
        <f>'Source Data'!A3</f>
        <v>Feb</v>
      </c>
      <c r="B4" s="12">
        <f>'Source Data'!B3</f>
        <v>135000</v>
      </c>
    </row>
    <row r="5" spans="1:3" x14ac:dyDescent="0.3">
      <c r="A5" s="11" t="str">
        <f>'Source Data'!A4</f>
        <v>Mar</v>
      </c>
      <c r="B5" s="12">
        <f>'Source Data'!B4</f>
        <v>128000</v>
      </c>
    </row>
    <row r="6" spans="1:3" x14ac:dyDescent="0.3">
      <c r="A6" s="11" t="str">
        <f>'Source Data'!A5</f>
        <v>Apr</v>
      </c>
      <c r="B6" s="12">
        <f>'Source Data'!B5</f>
        <v>150000</v>
      </c>
    </row>
    <row r="7" spans="1:3" x14ac:dyDescent="0.3">
      <c r="A7" s="11" t="str">
        <f>'Source Data'!A6</f>
        <v>May</v>
      </c>
      <c r="B7" s="12">
        <f>'Source Data'!B6</f>
        <v>165000</v>
      </c>
    </row>
    <row r="8" spans="1:3" x14ac:dyDescent="0.3">
      <c r="A8" s="11" t="str">
        <f>'Source Data'!A7</f>
        <v>Jun</v>
      </c>
      <c r="B8" s="12">
        <f>'Source Data'!B7</f>
        <v>172000</v>
      </c>
    </row>
    <row r="9" spans="1:3" x14ac:dyDescent="0.3">
      <c r="A9" s="11" t="str">
        <f>'Source Data'!A8</f>
        <v>Jul</v>
      </c>
      <c r="B9" s="12">
        <f>'Source Data'!B8</f>
        <v>180000</v>
      </c>
    </row>
    <row r="10" spans="1:3" x14ac:dyDescent="0.3">
      <c r="A10" s="11" t="str">
        <f>'Source Data'!A9</f>
        <v>Aug</v>
      </c>
      <c r="B10" s="12">
        <f>'Source Data'!B9</f>
        <v>176000</v>
      </c>
    </row>
    <row r="11" spans="1:3" x14ac:dyDescent="0.3">
      <c r="A11" s="11" t="str">
        <f>'Source Data'!A10</f>
        <v>Sep</v>
      </c>
      <c r="B11" s="12">
        <f>'Source Data'!B10</f>
        <v>190000</v>
      </c>
    </row>
    <row r="12" spans="1:3" x14ac:dyDescent="0.3">
      <c r="A12" s="11" t="str">
        <f>'Source Data'!A11</f>
        <v>Oct</v>
      </c>
      <c r="B12" s="12">
        <f>'Source Data'!B11</f>
        <v>205000</v>
      </c>
    </row>
    <row r="13" spans="1:3" x14ac:dyDescent="0.3">
      <c r="A13" s="11" t="str">
        <f>'Source Data'!A12</f>
        <v>Nov</v>
      </c>
      <c r="B13" s="12">
        <f>'Source Data'!B12</f>
        <v>218000</v>
      </c>
    </row>
    <row r="14" spans="1:3" x14ac:dyDescent="0.3">
      <c r="A14" s="11" t="str">
        <f>'Source Data'!A13</f>
        <v>Dec</v>
      </c>
      <c r="B14" s="12">
        <f>'Source Data'!B13</f>
        <v>240000</v>
      </c>
    </row>
    <row r="16" spans="1:3" x14ac:dyDescent="0.3">
      <c r="A16" s="65" t="s">
        <v>43</v>
      </c>
      <c r="B16" s="58"/>
      <c r="C16" s="54"/>
    </row>
    <row r="17" spans="1:3" x14ac:dyDescent="0.3">
      <c r="A17" s="10" t="s">
        <v>3</v>
      </c>
      <c r="B17" s="10" t="s">
        <v>31</v>
      </c>
      <c r="C17" s="10" t="s">
        <v>32</v>
      </c>
    </row>
    <row r="18" spans="1:3" x14ac:dyDescent="0.3">
      <c r="A18" s="11" t="str">
        <f>'Source Data'!A2</f>
        <v>Jan</v>
      </c>
      <c r="B18" s="12">
        <f>'Source Data'!B2</f>
        <v>120000</v>
      </c>
      <c r="C18" s="12">
        <f>'Source Data'!C2</f>
        <v>80000</v>
      </c>
    </row>
    <row r="19" spans="1:3" x14ac:dyDescent="0.3">
      <c r="A19" s="11" t="str">
        <f>'Source Data'!A3</f>
        <v>Feb</v>
      </c>
      <c r="B19" s="12">
        <f>'Source Data'!B3</f>
        <v>135000</v>
      </c>
      <c r="C19" s="12">
        <f>'Source Data'!C3</f>
        <v>85000</v>
      </c>
    </row>
    <row r="20" spans="1:3" x14ac:dyDescent="0.3">
      <c r="A20" s="11" t="str">
        <f>'Source Data'!A4</f>
        <v>Mar</v>
      </c>
      <c r="B20" s="12">
        <f>'Source Data'!B4</f>
        <v>128000</v>
      </c>
      <c r="C20" s="12">
        <f>'Source Data'!C4</f>
        <v>82000</v>
      </c>
    </row>
    <row r="21" spans="1:3" x14ac:dyDescent="0.3">
      <c r="A21" s="11" t="str">
        <f>'Source Data'!A5</f>
        <v>Apr</v>
      </c>
      <c r="B21" s="12">
        <f>'Source Data'!B5</f>
        <v>150000</v>
      </c>
      <c r="C21" s="12">
        <f>'Source Data'!C5</f>
        <v>90000</v>
      </c>
    </row>
    <row r="22" spans="1:3" x14ac:dyDescent="0.3">
      <c r="A22" s="11" t="str">
        <f>'Source Data'!A6</f>
        <v>May</v>
      </c>
      <c r="B22" s="12">
        <f>'Source Data'!B6</f>
        <v>165000</v>
      </c>
      <c r="C22" s="12">
        <f>'Source Data'!C6</f>
        <v>98000</v>
      </c>
    </row>
    <row r="23" spans="1:3" x14ac:dyDescent="0.3">
      <c r="A23" s="11" t="str">
        <f>'Source Data'!A7</f>
        <v>Jun</v>
      </c>
      <c r="B23" s="12">
        <f>'Source Data'!B7</f>
        <v>172000</v>
      </c>
      <c r="C23" s="12">
        <f>'Source Data'!C7</f>
        <v>102000</v>
      </c>
    </row>
    <row r="24" spans="1:3" x14ac:dyDescent="0.3">
      <c r="A24" s="11" t="str">
        <f>'Source Data'!A8</f>
        <v>Jul</v>
      </c>
      <c r="B24" s="12">
        <f>'Source Data'!B8</f>
        <v>180000</v>
      </c>
      <c r="C24" s="12">
        <f>'Source Data'!C8</f>
        <v>108000</v>
      </c>
    </row>
    <row r="25" spans="1:3" x14ac:dyDescent="0.3">
      <c r="A25" s="11" t="str">
        <f>'Source Data'!A9</f>
        <v>Aug</v>
      </c>
      <c r="B25" s="12">
        <f>'Source Data'!B9</f>
        <v>176000</v>
      </c>
      <c r="C25" s="12">
        <f>'Source Data'!C9</f>
        <v>105000</v>
      </c>
    </row>
    <row r="26" spans="1:3" x14ac:dyDescent="0.3">
      <c r="A26" s="11" t="str">
        <f>'Source Data'!A10</f>
        <v>Sep</v>
      </c>
      <c r="B26" s="12">
        <f>'Source Data'!B10</f>
        <v>190000</v>
      </c>
      <c r="C26" s="12">
        <f>'Source Data'!C10</f>
        <v>112000</v>
      </c>
    </row>
    <row r="27" spans="1:3" x14ac:dyDescent="0.3">
      <c r="A27" s="11" t="str">
        <f>'Source Data'!A11</f>
        <v>Oct</v>
      </c>
      <c r="B27" s="12">
        <f>'Source Data'!B11</f>
        <v>205000</v>
      </c>
      <c r="C27" s="12">
        <f>'Source Data'!C11</f>
        <v>118000</v>
      </c>
    </row>
    <row r="28" spans="1:3" x14ac:dyDescent="0.3">
      <c r="A28" s="11" t="str">
        <f>'Source Data'!A12</f>
        <v>Nov</v>
      </c>
      <c r="B28" s="12">
        <f>'Source Data'!B12</f>
        <v>218000</v>
      </c>
      <c r="C28" s="12">
        <f>'Source Data'!C12</f>
        <v>125000</v>
      </c>
    </row>
    <row r="29" spans="1:3" x14ac:dyDescent="0.3">
      <c r="A29" s="11" t="str">
        <f>'Source Data'!A13</f>
        <v>Dec</v>
      </c>
      <c r="B29" s="12">
        <f>'Source Data'!B13</f>
        <v>240000</v>
      </c>
      <c r="C29" s="12">
        <f>'Source Data'!C13</f>
        <v>138000</v>
      </c>
    </row>
    <row r="31" spans="1:3" x14ac:dyDescent="0.3">
      <c r="A31" s="14" t="s">
        <v>3</v>
      </c>
      <c r="B31" s="14" t="s">
        <v>31</v>
      </c>
      <c r="C31" s="14" t="s">
        <v>38</v>
      </c>
    </row>
    <row r="32" spans="1:3" x14ac:dyDescent="0.3">
      <c r="A32" s="9" t="str">
        <f>'Source Data'!A2</f>
        <v>Jan</v>
      </c>
      <c r="B32" s="13">
        <f>'Source Data'!B2</f>
        <v>120000</v>
      </c>
      <c r="C32" s="9">
        <f>Calculations!G2</f>
        <v>0.33333333333333331</v>
      </c>
    </row>
    <row r="33" spans="1:3" x14ac:dyDescent="0.3">
      <c r="A33" s="9" t="str">
        <f>'Source Data'!A3</f>
        <v>Feb</v>
      </c>
      <c r="B33" s="13">
        <f>'Source Data'!B3</f>
        <v>135000</v>
      </c>
      <c r="C33" s="9">
        <f>Calculations!G3</f>
        <v>0.37037037037037035</v>
      </c>
    </row>
    <row r="34" spans="1:3" x14ac:dyDescent="0.3">
      <c r="A34" s="9" t="str">
        <f>'Source Data'!A4</f>
        <v>Mar</v>
      </c>
      <c r="B34" s="13">
        <f>'Source Data'!B4</f>
        <v>128000</v>
      </c>
      <c r="C34" s="9">
        <f>Calculations!G4</f>
        <v>0.359375</v>
      </c>
    </row>
    <row r="35" spans="1:3" x14ac:dyDescent="0.3">
      <c r="A35" s="9" t="str">
        <f>'Source Data'!A5</f>
        <v>Apr</v>
      </c>
      <c r="B35" s="13">
        <f>'Source Data'!B5</f>
        <v>150000</v>
      </c>
      <c r="C35" s="9">
        <f>Calculations!G5</f>
        <v>0.4</v>
      </c>
    </row>
    <row r="36" spans="1:3" x14ac:dyDescent="0.3">
      <c r="A36" s="9" t="str">
        <f>'Source Data'!A6</f>
        <v>May</v>
      </c>
      <c r="B36" s="13">
        <f>'Source Data'!B6</f>
        <v>165000</v>
      </c>
      <c r="C36" s="9">
        <f>Calculations!G6</f>
        <v>0.40606060606060607</v>
      </c>
    </row>
    <row r="37" spans="1:3" x14ac:dyDescent="0.3">
      <c r="A37" s="9" t="str">
        <f>'Source Data'!A7</f>
        <v>Jun</v>
      </c>
      <c r="B37" s="13">
        <f>'Source Data'!B7</f>
        <v>172000</v>
      </c>
      <c r="C37" s="9">
        <f>Calculations!G7</f>
        <v>0.40697674418604651</v>
      </c>
    </row>
    <row r="38" spans="1:3" x14ac:dyDescent="0.3">
      <c r="A38" s="9" t="str">
        <f>'Source Data'!A8</f>
        <v>Jul</v>
      </c>
      <c r="B38" s="13">
        <f>'Source Data'!B8</f>
        <v>180000</v>
      </c>
      <c r="C38" s="9">
        <f>Calculations!G8</f>
        <v>0.4</v>
      </c>
    </row>
    <row r="39" spans="1:3" x14ac:dyDescent="0.3">
      <c r="A39" s="9" t="str">
        <f>'Source Data'!A9</f>
        <v>Aug</v>
      </c>
      <c r="B39" s="13">
        <f>'Source Data'!B9</f>
        <v>176000</v>
      </c>
      <c r="C39" s="9">
        <f>Calculations!G9</f>
        <v>0.40340909090909088</v>
      </c>
    </row>
    <row r="40" spans="1:3" x14ac:dyDescent="0.3">
      <c r="A40" s="9" t="str">
        <f>'Source Data'!A10</f>
        <v>Sep</v>
      </c>
      <c r="B40" s="13">
        <f>'Source Data'!B10</f>
        <v>190000</v>
      </c>
      <c r="C40" s="9">
        <f>Calculations!G10</f>
        <v>0.41052631578947368</v>
      </c>
    </row>
    <row r="41" spans="1:3" x14ac:dyDescent="0.3">
      <c r="A41" s="9" t="str">
        <f>'Source Data'!A11</f>
        <v>Oct</v>
      </c>
      <c r="B41" s="13">
        <f>'Source Data'!B11</f>
        <v>205000</v>
      </c>
      <c r="C41" s="9">
        <f>Calculations!G11</f>
        <v>0.42439024390243901</v>
      </c>
    </row>
    <row r="42" spans="1:3" x14ac:dyDescent="0.3">
      <c r="A42" s="9" t="str">
        <f>'Source Data'!A12</f>
        <v>Nov</v>
      </c>
      <c r="B42" s="13">
        <f>'Source Data'!B12</f>
        <v>218000</v>
      </c>
      <c r="C42" s="9">
        <f>Calculations!G12</f>
        <v>0.42660550458715596</v>
      </c>
    </row>
    <row r="43" spans="1:3" x14ac:dyDescent="0.3">
      <c r="A43" s="9" t="str">
        <f>'Source Data'!A13</f>
        <v>Dec</v>
      </c>
      <c r="B43" s="13">
        <f>'Source Data'!B13</f>
        <v>240000</v>
      </c>
      <c r="C43" s="9">
        <f>Calculations!G13</f>
        <v>0.42499999999999999</v>
      </c>
    </row>
    <row r="46" spans="1:3" x14ac:dyDescent="0.3">
      <c r="A46" s="14" t="s">
        <v>44</v>
      </c>
      <c r="B46" s="14" t="s">
        <v>45</v>
      </c>
    </row>
    <row r="47" spans="1:3" x14ac:dyDescent="0.3">
      <c r="A47" s="9" t="s">
        <v>31</v>
      </c>
      <c r="B47" s="13">
        <f>Calculations!B14</f>
        <v>2079000</v>
      </c>
    </row>
    <row r="48" spans="1:3" x14ac:dyDescent="0.3">
      <c r="A48" s="9" t="s">
        <v>32</v>
      </c>
      <c r="B48" s="13">
        <f>-Calculations!C14</f>
        <v>-1243000</v>
      </c>
    </row>
    <row r="49" spans="1:2" x14ac:dyDescent="0.3">
      <c r="A49" s="9" t="s">
        <v>37</v>
      </c>
      <c r="B49" s="13">
        <f>Calculations!D14</f>
        <v>836000</v>
      </c>
    </row>
  </sheetData>
  <mergeCells count="2">
    <mergeCell ref="A16:C16"/>
    <mergeCell ref="A1:B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B2A4A"/>
    <pageSetUpPr fitToPage="1"/>
  </sheetPr>
  <dimension ref="B1:K8"/>
  <sheetViews>
    <sheetView zoomScaleNormal="100" workbookViewId="0">
      <selection activeCell="K81" sqref="K81"/>
    </sheetView>
  </sheetViews>
  <sheetFormatPr defaultRowHeight="14.4" x14ac:dyDescent="0.3"/>
  <cols>
    <col min="1" max="1" width="4" customWidth="1"/>
    <col min="2" max="2" width="24" customWidth="1"/>
    <col min="3" max="3" width="4" customWidth="1"/>
    <col min="4" max="4" width="24" customWidth="1"/>
    <col min="5" max="5" width="6.6640625" customWidth="1"/>
    <col min="6" max="6" width="24" customWidth="1"/>
    <col min="7" max="7" width="4" customWidth="1"/>
    <col min="8" max="8" width="24" customWidth="1"/>
    <col min="9" max="9" width="4" customWidth="1"/>
    <col min="10" max="10" width="24" customWidth="1"/>
    <col min="11" max="11" width="4" customWidth="1"/>
  </cols>
  <sheetData>
    <row r="1" spans="2:11" ht="19.95" customHeight="1" x14ac:dyDescent="0.3"/>
    <row r="2" spans="2:11" ht="49.95" customHeight="1" x14ac:dyDescent="0.3">
      <c r="B2" s="57" t="str">
        <f>"SALES PERFORMANCE DASHBOARD â€” Profit Margin: "&amp;TEXT(Calculations!G14,"0.0%")</f>
        <v>SALES PERFORMANCE DASHBOARD â€” Profit Margin: 40.2%</v>
      </c>
      <c r="C2" s="58"/>
      <c r="D2" s="58"/>
      <c r="E2" s="58"/>
      <c r="F2" s="58"/>
      <c r="G2" s="58"/>
      <c r="H2" s="58"/>
      <c r="I2" s="58"/>
      <c r="J2" s="58"/>
      <c r="K2" s="54"/>
    </row>
    <row r="3" spans="2:11" ht="10.050000000000001" customHeight="1" x14ac:dyDescent="0.3">
      <c r="B3" s="59" t="s">
        <v>46</v>
      </c>
      <c r="C3" s="54"/>
      <c r="D3" s="59" t="s">
        <v>47</v>
      </c>
      <c r="E3" s="54"/>
      <c r="F3" s="59" t="s">
        <v>48</v>
      </c>
      <c r="G3" s="54"/>
      <c r="H3" s="59" t="s">
        <v>49</v>
      </c>
      <c r="I3" s="54"/>
      <c r="J3" s="59" t="s">
        <v>50</v>
      </c>
      <c r="K3" s="54"/>
    </row>
    <row r="4" spans="2:11" ht="90" customHeight="1" x14ac:dyDescent="0.3">
      <c r="B4" s="55">
        <f>Calculations!B14</f>
        <v>2079000</v>
      </c>
      <c r="C4" s="54"/>
      <c r="D4" s="56">
        <f>Calculations!C14</f>
        <v>1243000</v>
      </c>
      <c r="E4" s="54"/>
      <c r="F4" s="61">
        <f>Calculations!D14</f>
        <v>836000</v>
      </c>
      <c r="G4" s="54"/>
      <c r="H4" s="63">
        <f>Calculations!E14</f>
        <v>7830</v>
      </c>
      <c r="I4" s="54"/>
      <c r="J4" s="64">
        <f>Calculations!F14</f>
        <v>1572</v>
      </c>
      <c r="K4" s="54"/>
    </row>
    <row r="5" spans="2:11" ht="25.2" customHeight="1" x14ac:dyDescent="0.3">
      <c r="B5" s="53"/>
      <c r="C5" s="54"/>
      <c r="D5" s="53"/>
      <c r="E5" s="54"/>
      <c r="F5" s="53"/>
      <c r="G5" s="54"/>
      <c r="H5" s="53"/>
      <c r="I5" s="54"/>
      <c r="J5" s="53"/>
      <c r="K5" s="54"/>
    </row>
    <row r="6" spans="2:11" ht="49.95" customHeight="1" x14ac:dyDescent="0.35">
      <c r="B6" s="60" t="str">
        <f>"Profit Margin: "&amp;TEXT(Calculations!G14,"0.0%")</f>
        <v>Profit Margin: 40.2%</v>
      </c>
      <c r="C6" s="54"/>
      <c r="D6" s="60" t="str">
        <f>"Avg Monthly Growth: "&amp;TEXT(AVERAGE(Calculations!H2:H13),"0.0%")</f>
        <v>Avg Monthly Growth: 6.7%</v>
      </c>
      <c r="E6" s="54"/>
      <c r="F6" s="62"/>
      <c r="G6" s="54"/>
      <c r="H6" s="62"/>
      <c r="I6" s="54"/>
      <c r="J6" s="62"/>
      <c r="K6" s="54"/>
    </row>
    <row r="8" spans="2:11" x14ac:dyDescent="0.3">
      <c r="B8" s="51"/>
      <c r="C8" s="52"/>
      <c r="D8" s="52"/>
      <c r="E8" s="52"/>
      <c r="F8" s="52"/>
      <c r="G8" s="52"/>
      <c r="H8" s="52"/>
      <c r="I8" s="52"/>
      <c r="J8" s="52"/>
      <c r="K8" s="52"/>
    </row>
  </sheetData>
  <mergeCells count="22">
    <mergeCell ref="B2:K2"/>
    <mergeCell ref="D3:E3"/>
    <mergeCell ref="H3:I3"/>
    <mergeCell ref="B6:C6"/>
    <mergeCell ref="J3:K3"/>
    <mergeCell ref="F4:G4"/>
    <mergeCell ref="J5:K5"/>
    <mergeCell ref="B3:C3"/>
    <mergeCell ref="F6:G6"/>
    <mergeCell ref="H4:I4"/>
    <mergeCell ref="F3:G3"/>
    <mergeCell ref="D6:E6"/>
    <mergeCell ref="H6:I6"/>
    <mergeCell ref="J6:K6"/>
    <mergeCell ref="F5:G5"/>
    <mergeCell ref="J4:K4"/>
    <mergeCell ref="B8:K8"/>
    <mergeCell ref="B5:C5"/>
    <mergeCell ref="D5:E5"/>
    <mergeCell ref="H5:I5"/>
    <mergeCell ref="B4:C4"/>
    <mergeCell ref="D4:E4"/>
  </mergeCells>
  <pageMargins left="0.5" right="0.5" top="0.5" bottom="0.5" header="0.5" footer="0.5"/>
  <pageSetup paperSize="9"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ExportDashboardToPDF">
                <anchor moveWithCells="1">
                  <from>
                    <xdr:col>12</xdr:col>
                    <xdr:colOff>236220</xdr:colOff>
                    <xdr:row>3</xdr:row>
                    <xdr:rowOff>426720</xdr:rowOff>
                  </from>
                  <to>
                    <xdr:col>14</xdr:col>
                    <xdr:colOff>548640</xdr:colOff>
                    <xdr:row>3</xdr:row>
                    <xdr:rowOff>1074420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29"/>
  <sheetViews>
    <sheetView topLeftCell="A19" zoomScaleNormal="100" workbookViewId="0">
      <selection activeCell="J10" sqref="J10"/>
    </sheetView>
  </sheetViews>
  <sheetFormatPr defaultRowHeight="14.4" x14ac:dyDescent="0.3"/>
  <cols>
    <col min="1" max="1" width="23.88671875" bestFit="1" customWidth="1"/>
    <col min="2" max="2" width="12.88671875" bestFit="1" customWidth="1"/>
    <col min="3" max="3" width="15.5546875" bestFit="1" customWidth="1"/>
    <col min="4" max="4" width="15.88671875" bestFit="1" customWidth="1"/>
    <col min="5" max="5" width="20.44140625" bestFit="1" customWidth="1"/>
    <col min="6" max="6" width="12.109375" bestFit="1" customWidth="1"/>
    <col min="7" max="7" width="12.21875" bestFit="1" customWidth="1"/>
  </cols>
  <sheetData>
    <row r="1" spans="1:7" ht="30" customHeight="1" x14ac:dyDescent="0.3">
      <c r="A1" s="68" t="s">
        <v>0</v>
      </c>
      <c r="B1" s="52"/>
      <c r="C1" s="52"/>
      <c r="D1" s="52"/>
      <c r="E1" s="52"/>
      <c r="F1" s="52"/>
      <c r="G1" s="52"/>
    </row>
    <row r="3" spans="1:7" ht="15.6" customHeight="1" x14ac:dyDescent="0.3">
      <c r="A3" s="66" t="s">
        <v>1</v>
      </c>
      <c r="B3" s="52"/>
      <c r="C3" s="52"/>
      <c r="D3" s="52"/>
      <c r="E3" s="52"/>
      <c r="F3" s="52"/>
      <c r="G3" s="52"/>
    </row>
    <row r="4" spans="1:7" ht="31.95" customHeight="1" x14ac:dyDescent="0.3">
      <c r="A4" s="15" t="s">
        <v>2</v>
      </c>
      <c r="B4" s="15" t="s">
        <v>3</v>
      </c>
      <c r="C4" s="15" t="s">
        <v>4</v>
      </c>
      <c r="D4" s="15" t="s">
        <v>5</v>
      </c>
      <c r="E4" s="15" t="s">
        <v>6</v>
      </c>
      <c r="F4" s="15" t="s">
        <v>7</v>
      </c>
      <c r="G4" s="15" t="s">
        <v>8</v>
      </c>
    </row>
    <row r="5" spans="1:7" x14ac:dyDescent="0.3">
      <c r="A5" s="16">
        <v>1</v>
      </c>
      <c r="B5" s="17" t="s">
        <v>9</v>
      </c>
      <c r="C5" s="18">
        <f>'Source Data'!B2</f>
        <v>120000</v>
      </c>
      <c r="D5" s="18">
        <f t="shared" ref="D5:D16" si="0">C5</f>
        <v>120000</v>
      </c>
      <c r="E5" s="17"/>
      <c r="F5" s="17"/>
      <c r="G5" s="17"/>
    </row>
    <row r="6" spans="1:7" x14ac:dyDescent="0.3">
      <c r="A6" s="19">
        <v>2</v>
      </c>
      <c r="B6" s="20" t="s">
        <v>10</v>
      </c>
      <c r="C6" s="18">
        <f>'Source Data'!B3</f>
        <v>135000</v>
      </c>
      <c r="D6" s="21">
        <f t="shared" si="0"/>
        <v>135000</v>
      </c>
      <c r="E6" s="20"/>
      <c r="F6" s="20"/>
      <c r="G6" s="20"/>
    </row>
    <row r="7" spans="1:7" x14ac:dyDescent="0.3">
      <c r="A7" s="16">
        <v>3</v>
      </c>
      <c r="B7" s="17" t="s">
        <v>11</v>
      </c>
      <c r="C7" s="18">
        <f>'Source Data'!B4</f>
        <v>128000</v>
      </c>
      <c r="D7" s="18">
        <f t="shared" si="0"/>
        <v>128000</v>
      </c>
      <c r="E7" s="17"/>
      <c r="F7" s="17"/>
      <c r="G7" s="17"/>
    </row>
    <row r="8" spans="1:7" x14ac:dyDescent="0.3">
      <c r="A8" s="19">
        <v>4</v>
      </c>
      <c r="B8" s="20" t="s">
        <v>12</v>
      </c>
      <c r="C8" s="18">
        <f>'Source Data'!B5</f>
        <v>150000</v>
      </c>
      <c r="D8" s="21">
        <f t="shared" si="0"/>
        <v>150000</v>
      </c>
      <c r="E8" s="20"/>
      <c r="F8" s="20"/>
      <c r="G8" s="20"/>
    </row>
    <row r="9" spans="1:7" x14ac:dyDescent="0.3">
      <c r="A9" s="16">
        <v>5</v>
      </c>
      <c r="B9" s="17" t="s">
        <v>13</v>
      </c>
      <c r="C9" s="18">
        <f>'Source Data'!B6</f>
        <v>165000</v>
      </c>
      <c r="D9" s="18">
        <f t="shared" si="0"/>
        <v>165000</v>
      </c>
      <c r="E9" s="17"/>
      <c r="F9" s="17"/>
      <c r="G9" s="17"/>
    </row>
    <row r="10" spans="1:7" x14ac:dyDescent="0.3">
      <c r="A10" s="19">
        <v>6</v>
      </c>
      <c r="B10" s="20" t="s">
        <v>14</v>
      </c>
      <c r="C10" s="18">
        <f>'Source Data'!B7</f>
        <v>172000</v>
      </c>
      <c r="D10" s="21">
        <f t="shared" si="0"/>
        <v>172000</v>
      </c>
      <c r="E10" s="20"/>
      <c r="F10" s="20"/>
      <c r="G10" s="20"/>
    </row>
    <row r="11" spans="1:7" x14ac:dyDescent="0.3">
      <c r="A11" s="16">
        <v>7</v>
      </c>
      <c r="B11" s="17" t="s">
        <v>15</v>
      </c>
      <c r="C11" s="18">
        <f>'Source Data'!B8</f>
        <v>180000</v>
      </c>
      <c r="D11" s="18">
        <f t="shared" si="0"/>
        <v>180000</v>
      </c>
      <c r="E11" s="17"/>
      <c r="F11" s="17"/>
      <c r="G11" s="17"/>
    </row>
    <row r="12" spans="1:7" x14ac:dyDescent="0.3">
      <c r="A12" s="19">
        <v>8</v>
      </c>
      <c r="B12" s="20" t="s">
        <v>16</v>
      </c>
      <c r="C12" s="18">
        <f>'Source Data'!B9</f>
        <v>176000</v>
      </c>
      <c r="D12" s="21">
        <f t="shared" si="0"/>
        <v>176000</v>
      </c>
      <c r="E12" s="20"/>
      <c r="F12" s="20"/>
      <c r="G12" s="20"/>
    </row>
    <row r="13" spans="1:7" x14ac:dyDescent="0.3">
      <c r="A13" s="16">
        <v>9</v>
      </c>
      <c r="B13" s="17" t="s">
        <v>17</v>
      </c>
      <c r="C13" s="18">
        <f>'Source Data'!B10</f>
        <v>190000</v>
      </c>
      <c r="D13" s="18">
        <f t="shared" si="0"/>
        <v>190000</v>
      </c>
      <c r="E13" s="17"/>
      <c r="F13" s="17"/>
      <c r="G13" s="17"/>
    </row>
    <row r="14" spans="1:7" x14ac:dyDescent="0.3">
      <c r="A14" s="19">
        <v>10</v>
      </c>
      <c r="B14" s="20" t="s">
        <v>18</v>
      </c>
      <c r="C14" s="18">
        <f>'Source Data'!B11</f>
        <v>205000</v>
      </c>
      <c r="D14" s="21">
        <f t="shared" si="0"/>
        <v>205000</v>
      </c>
      <c r="E14" s="20"/>
      <c r="F14" s="20"/>
      <c r="G14" s="20"/>
    </row>
    <row r="15" spans="1:7" x14ac:dyDescent="0.3">
      <c r="A15" s="16">
        <v>11</v>
      </c>
      <c r="B15" s="17" t="s">
        <v>19</v>
      </c>
      <c r="C15" s="18">
        <f>'Source Data'!B12</f>
        <v>218000</v>
      </c>
      <c r="D15" s="18">
        <f t="shared" si="0"/>
        <v>218000</v>
      </c>
      <c r="E15" s="17"/>
      <c r="F15" s="17"/>
      <c r="G15" s="17"/>
    </row>
    <row r="16" spans="1:7" x14ac:dyDescent="0.3">
      <c r="A16" s="19">
        <v>12</v>
      </c>
      <c r="B16" s="20" t="s">
        <v>20</v>
      </c>
      <c r="C16" s="18">
        <f>'Source Data'!B13</f>
        <v>240000</v>
      </c>
      <c r="D16" s="21">
        <f t="shared" si="0"/>
        <v>240000</v>
      </c>
      <c r="E16" s="20"/>
      <c r="F16" s="20"/>
      <c r="G16" s="20"/>
    </row>
    <row r="18" spans="1:7" ht="24" customHeight="1" x14ac:dyDescent="0.3">
      <c r="A18" s="69" t="s">
        <v>21</v>
      </c>
      <c r="B18" s="52"/>
      <c r="C18" s="52"/>
      <c r="D18" s="52"/>
      <c r="E18" s="52"/>
      <c r="F18" s="52"/>
      <c r="G18" s="52"/>
    </row>
    <row r="19" spans="1:7" ht="28.05" customHeight="1" x14ac:dyDescent="0.3">
      <c r="A19" s="22" t="s">
        <v>2</v>
      </c>
      <c r="B19" s="22" t="s">
        <v>3</v>
      </c>
      <c r="C19" s="22" t="s">
        <v>4</v>
      </c>
      <c r="D19" s="22" t="s">
        <v>5</v>
      </c>
      <c r="E19" s="22" t="s">
        <v>6</v>
      </c>
      <c r="F19" s="22" t="s">
        <v>7</v>
      </c>
      <c r="G19" s="22" t="s">
        <v>8</v>
      </c>
    </row>
    <row r="20" spans="1:7" x14ac:dyDescent="0.3">
      <c r="A20" s="16">
        <v>13</v>
      </c>
      <c r="B20" s="17" t="s">
        <v>22</v>
      </c>
      <c r="C20" s="17"/>
      <c r="D20" s="25">
        <f>_xlfn.FORECAST.ETS(A20, $C$5:$C$16, $A$5:$A$16, 1, 1, 1)</f>
        <v>239303.65777073501</v>
      </c>
      <c r="E20" s="18">
        <f>_xlfn.FORECAST.ETS.CONFINT(A20, $C$5:$C$16, $A$5:$A$16, 0.9, 1)</f>
        <v>11772.01951622599</v>
      </c>
      <c r="F20" s="18">
        <f>D20-E20</f>
        <v>227531.63825450902</v>
      </c>
      <c r="G20" s="18">
        <f>D20+E20</f>
        <v>251075.677286961</v>
      </c>
    </row>
    <row r="21" spans="1:7" x14ac:dyDescent="0.3">
      <c r="A21" s="16">
        <v>14</v>
      </c>
      <c r="B21" s="17" t="s">
        <v>23</v>
      </c>
      <c r="C21" s="17"/>
      <c r="D21" s="23">
        <f>_xlfn.FORECAST.ETS(A21, $C$5:$C$16, $A$5:$A$16, 1, 1, 1)</f>
        <v>249240.66565475243</v>
      </c>
      <c r="E21" s="18">
        <f>_xlfn.FORECAST.ETS.CONFINT(A21, $C$5:$C$16, $A$5:$A$16, 0.9, 1)</f>
        <v>11772.07249019462</v>
      </c>
      <c r="F21" s="18">
        <f>D21-E21</f>
        <v>237468.59316455782</v>
      </c>
      <c r="G21" s="18">
        <f>D21+E21</f>
        <v>261012.73814494704</v>
      </c>
    </row>
    <row r="22" spans="1:7" x14ac:dyDescent="0.3">
      <c r="A22" s="16">
        <v>15</v>
      </c>
      <c r="B22" s="17" t="s">
        <v>24</v>
      </c>
      <c r="C22" s="17"/>
      <c r="D22" s="23">
        <f>_xlfn.FORECAST.ETS(A22, $C$5:$C$16, $A$5:$A$16, 1, 1, 1)</f>
        <v>259177.67353876986</v>
      </c>
      <c r="E22" s="18">
        <f>_xlfn.FORECAST.ETS.CONFINT(A22, $C$5:$C$16, $A$5:$A$16, 0.9, 1)</f>
        <v>11772.166665550263</v>
      </c>
      <c r="F22" s="18">
        <f>D22-E22</f>
        <v>247405.50687321959</v>
      </c>
      <c r="G22" s="18">
        <f>D22+E22</f>
        <v>270949.84020432015</v>
      </c>
    </row>
    <row r="24" spans="1:7" ht="28.05" customHeight="1" x14ac:dyDescent="0.35">
      <c r="A24" s="67" t="s">
        <v>25</v>
      </c>
      <c r="B24" s="52"/>
      <c r="C24" s="52"/>
    </row>
    <row r="25" spans="1:7" x14ac:dyDescent="0.3">
      <c r="A25" s="24" t="s">
        <v>26</v>
      </c>
      <c r="B25" s="18">
        <f>SUM(C5:C16)</f>
        <v>2079000</v>
      </c>
    </row>
    <row r="26" spans="1:7" x14ac:dyDescent="0.3">
      <c r="A26" s="24" t="s">
        <v>27</v>
      </c>
      <c r="B26" s="18">
        <f>AVERAGE(C5:C16)</f>
        <v>173250</v>
      </c>
    </row>
    <row r="27" spans="1:7" x14ac:dyDescent="0.3">
      <c r="A27" s="24" t="s">
        <v>28</v>
      </c>
      <c r="B27" s="18">
        <f>SUM(D20:D22)</f>
        <v>747721.99696425733</v>
      </c>
    </row>
    <row r="28" spans="1:7" x14ac:dyDescent="0.3">
      <c r="A28" s="24" t="s">
        <v>29</v>
      </c>
      <c r="B28" s="18">
        <f>SUM(F20:F22)</f>
        <v>712405.73829228641</v>
      </c>
    </row>
    <row r="29" spans="1:7" x14ac:dyDescent="0.3">
      <c r="A29" s="24" t="s">
        <v>30</v>
      </c>
      <c r="B29" s="18">
        <f>SUM(G20:G22)</f>
        <v>783038.25563622825</v>
      </c>
    </row>
  </sheetData>
  <mergeCells count="4">
    <mergeCell ref="A3:G3"/>
    <mergeCell ref="A24:C24"/>
    <mergeCell ref="A1:G1"/>
    <mergeCell ref="A18:G18"/>
  </mergeCell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51"/>
  <sheetViews>
    <sheetView zoomScaleNormal="100" workbookViewId="0">
      <selection activeCell="G9" sqref="G9"/>
    </sheetView>
  </sheetViews>
  <sheetFormatPr defaultRowHeight="14.4" x14ac:dyDescent="0.3"/>
  <cols>
    <col min="1" max="1" width="36" customWidth="1"/>
    <col min="2" max="3" width="24" customWidth="1"/>
    <col min="4" max="4" width="22" customWidth="1"/>
    <col min="5" max="5" width="3" customWidth="1"/>
    <col min="6" max="7" width="22" customWidth="1"/>
  </cols>
  <sheetData>
    <row r="1" spans="1:4" ht="31.95" customHeight="1" x14ac:dyDescent="0.3">
      <c r="A1" s="71" t="s">
        <v>51</v>
      </c>
      <c r="B1" s="52"/>
      <c r="C1" s="52"/>
      <c r="D1" s="52"/>
    </row>
    <row r="3" spans="1:4" ht="24" customHeight="1" x14ac:dyDescent="0.3">
      <c r="A3" s="72" t="s">
        <v>52</v>
      </c>
      <c r="B3" s="52"/>
      <c r="C3" s="52"/>
      <c r="D3" s="52"/>
    </row>
    <row r="5" spans="1:4" ht="30" customHeight="1" x14ac:dyDescent="0.3">
      <c r="A5" s="26" t="s">
        <v>53</v>
      </c>
      <c r="B5" s="27">
        <v>0.05</v>
      </c>
      <c r="C5" s="28" t="s">
        <v>54</v>
      </c>
    </row>
    <row r="6" spans="1:4" x14ac:dyDescent="0.3">
      <c r="A6" s="26" t="s">
        <v>55</v>
      </c>
      <c r="B6" s="29"/>
      <c r="C6" s="28" t="s">
        <v>56</v>
      </c>
    </row>
    <row r="8" spans="1:4" x14ac:dyDescent="0.3">
      <c r="A8" s="30" t="s">
        <v>57</v>
      </c>
      <c r="B8" s="73" t="s">
        <v>58</v>
      </c>
      <c r="C8" s="52"/>
      <c r="D8" s="52"/>
    </row>
    <row r="10" spans="1:4" ht="24" customHeight="1" x14ac:dyDescent="0.3">
      <c r="A10" s="72" t="s">
        <v>59</v>
      </c>
      <c r="B10" s="52"/>
      <c r="C10" s="52"/>
      <c r="D10" s="52"/>
    </row>
    <row r="11" spans="1:4" ht="30" customHeight="1" x14ac:dyDescent="0.3">
      <c r="A11" s="31" t="s">
        <v>3</v>
      </c>
      <c r="B11" s="31" t="s">
        <v>60</v>
      </c>
      <c r="C11" s="31" t="s">
        <v>61</v>
      </c>
      <c r="D11" s="31" t="s">
        <v>62</v>
      </c>
    </row>
    <row r="12" spans="1:4" x14ac:dyDescent="0.3">
      <c r="A12" s="32" t="s">
        <v>9</v>
      </c>
      <c r="B12" s="33">
        <f>'Source Data'!B13</f>
        <v>240000</v>
      </c>
      <c r="C12" s="34">
        <f t="shared" ref="C12:C23" si="0">IF($B$5&lt;&gt;"",B12*(1+$B$5),"")</f>
        <v>252000</v>
      </c>
      <c r="D12" s="33">
        <f t="shared" ref="D12:D23" si="1">IF(C12="","",C12-B12)</f>
        <v>12000</v>
      </c>
    </row>
    <row r="13" spans="1:4" x14ac:dyDescent="0.3">
      <c r="A13" s="35" t="s">
        <v>10</v>
      </c>
      <c r="B13" s="36">
        <f t="shared" ref="B13:B23" si="2">IF($B$5&lt;&gt;"",C12,"")</f>
        <v>252000</v>
      </c>
      <c r="C13" s="37">
        <f t="shared" si="0"/>
        <v>264600</v>
      </c>
      <c r="D13" s="36">
        <f t="shared" si="1"/>
        <v>12600</v>
      </c>
    </row>
    <row r="14" spans="1:4" x14ac:dyDescent="0.3">
      <c r="A14" s="32" t="s">
        <v>11</v>
      </c>
      <c r="B14" s="33">
        <f t="shared" si="2"/>
        <v>264600</v>
      </c>
      <c r="C14" s="34">
        <f t="shared" si="0"/>
        <v>277830</v>
      </c>
      <c r="D14" s="33">
        <f t="shared" si="1"/>
        <v>13230</v>
      </c>
    </row>
    <row r="15" spans="1:4" x14ac:dyDescent="0.3">
      <c r="A15" s="35" t="s">
        <v>12</v>
      </c>
      <c r="B15" s="36">
        <f t="shared" si="2"/>
        <v>277830</v>
      </c>
      <c r="C15" s="37">
        <f t="shared" si="0"/>
        <v>291721.5</v>
      </c>
      <c r="D15" s="36">
        <f t="shared" si="1"/>
        <v>13891.5</v>
      </c>
    </row>
    <row r="16" spans="1:4" x14ac:dyDescent="0.3">
      <c r="A16" s="32" t="s">
        <v>13</v>
      </c>
      <c r="B16" s="33">
        <f t="shared" si="2"/>
        <v>291721.5</v>
      </c>
      <c r="C16" s="34">
        <f t="shared" si="0"/>
        <v>306307.57500000001</v>
      </c>
      <c r="D16" s="33">
        <f t="shared" si="1"/>
        <v>14586.075000000012</v>
      </c>
    </row>
    <row r="17" spans="1:4" x14ac:dyDescent="0.3">
      <c r="A17" s="35" t="s">
        <v>14</v>
      </c>
      <c r="B17" s="36">
        <f t="shared" si="2"/>
        <v>306307.57500000001</v>
      </c>
      <c r="C17" s="37">
        <f t="shared" si="0"/>
        <v>321622.95375000004</v>
      </c>
      <c r="D17" s="36">
        <f t="shared" si="1"/>
        <v>15315.378750000033</v>
      </c>
    </row>
    <row r="18" spans="1:4" x14ac:dyDescent="0.3">
      <c r="A18" s="32" t="s">
        <v>15</v>
      </c>
      <c r="B18" s="33">
        <f t="shared" si="2"/>
        <v>321622.95375000004</v>
      </c>
      <c r="C18" s="34">
        <f t="shared" si="0"/>
        <v>337704.10143750004</v>
      </c>
      <c r="D18" s="33">
        <f t="shared" si="1"/>
        <v>16081.147687499993</v>
      </c>
    </row>
    <row r="19" spans="1:4" x14ac:dyDescent="0.3">
      <c r="A19" s="35" t="s">
        <v>16</v>
      </c>
      <c r="B19" s="36">
        <f t="shared" si="2"/>
        <v>337704.10143750004</v>
      </c>
      <c r="C19" s="37">
        <f t="shared" si="0"/>
        <v>354589.30650937505</v>
      </c>
      <c r="D19" s="36">
        <f t="shared" si="1"/>
        <v>16885.205071875011</v>
      </c>
    </row>
    <row r="20" spans="1:4" x14ac:dyDescent="0.3">
      <c r="A20" s="32" t="s">
        <v>17</v>
      </c>
      <c r="B20" s="33">
        <f t="shared" si="2"/>
        <v>354589.30650937505</v>
      </c>
      <c r="C20" s="34">
        <f t="shared" si="0"/>
        <v>372318.77183484379</v>
      </c>
      <c r="D20" s="33">
        <f t="shared" si="1"/>
        <v>17729.465325468744</v>
      </c>
    </row>
    <row r="21" spans="1:4" x14ac:dyDescent="0.3">
      <c r="A21" s="35" t="s">
        <v>18</v>
      </c>
      <c r="B21" s="36">
        <f t="shared" si="2"/>
        <v>372318.77183484379</v>
      </c>
      <c r="C21" s="37">
        <f t="shared" si="0"/>
        <v>390934.71042658598</v>
      </c>
      <c r="D21" s="36">
        <f t="shared" si="1"/>
        <v>18615.93859174219</v>
      </c>
    </row>
    <row r="22" spans="1:4" x14ac:dyDescent="0.3">
      <c r="A22" s="32" t="s">
        <v>19</v>
      </c>
      <c r="B22" s="33">
        <f t="shared" si="2"/>
        <v>390934.71042658598</v>
      </c>
      <c r="C22" s="34">
        <f t="shared" si="0"/>
        <v>410481.44594791532</v>
      </c>
      <c r="D22" s="33">
        <f t="shared" si="1"/>
        <v>19546.735521329334</v>
      </c>
    </row>
    <row r="23" spans="1:4" x14ac:dyDescent="0.3">
      <c r="A23" s="35" t="s">
        <v>20</v>
      </c>
      <c r="B23" s="36">
        <f t="shared" si="2"/>
        <v>410481.44594791532</v>
      </c>
      <c r="C23" s="37">
        <f t="shared" si="0"/>
        <v>431005.5182453111</v>
      </c>
      <c r="D23" s="36">
        <f t="shared" si="1"/>
        <v>20524.072297395789</v>
      </c>
    </row>
    <row r="24" spans="1:4" x14ac:dyDescent="0.3">
      <c r="A24" s="31" t="s">
        <v>41</v>
      </c>
      <c r="B24" s="38">
        <f>B12</f>
        <v>240000</v>
      </c>
      <c r="C24" s="38">
        <f>SUM(C12:C23)</f>
        <v>4011115.8831515308</v>
      </c>
      <c r="D24" s="38">
        <f>SUM(D12:D23)</f>
        <v>191005.5182453111</v>
      </c>
    </row>
    <row r="26" spans="1:4" ht="36" customHeight="1" x14ac:dyDescent="0.3">
      <c r="A26" s="75" t="s">
        <v>63</v>
      </c>
      <c r="B26" s="52"/>
      <c r="C26" s="52"/>
      <c r="D26" s="39">
        <f>C24</f>
        <v>4011115.8831515308</v>
      </c>
    </row>
    <row r="27" spans="1:4" ht="18" x14ac:dyDescent="0.3">
      <c r="A27" s="74" t="s">
        <v>64</v>
      </c>
      <c r="B27" s="52"/>
      <c r="C27" s="52"/>
      <c r="D27" s="40">
        <f>D24</f>
        <v>191005.5182453111</v>
      </c>
    </row>
    <row r="44" spans="1:3" ht="17.399999999999999" x14ac:dyDescent="0.3">
      <c r="A44" s="72" t="s">
        <v>65</v>
      </c>
      <c r="B44" s="52"/>
      <c r="C44" s="52"/>
    </row>
    <row r="45" spans="1:3" ht="28.8" x14ac:dyDescent="0.3">
      <c r="A45" s="31" t="s">
        <v>66</v>
      </c>
      <c r="B45" s="31" t="s">
        <v>67</v>
      </c>
      <c r="C45" s="31" t="s">
        <v>68</v>
      </c>
    </row>
    <row r="46" spans="1:3" x14ac:dyDescent="0.3">
      <c r="A46" s="41">
        <v>0.03</v>
      </c>
      <c r="B46" s="42" t="s">
        <v>69</v>
      </c>
      <c r="C46" s="43"/>
    </row>
    <row r="47" spans="1:3" x14ac:dyDescent="0.3">
      <c r="A47" s="44">
        <v>0.05</v>
      </c>
      <c r="B47" s="45" t="s">
        <v>69</v>
      </c>
      <c r="C47" s="46"/>
    </row>
    <row r="48" spans="1:3" x14ac:dyDescent="0.3">
      <c r="A48" s="41">
        <v>0.08</v>
      </c>
      <c r="B48" s="42" t="s">
        <v>69</v>
      </c>
      <c r="C48" s="43"/>
    </row>
    <row r="49" spans="1:3" x14ac:dyDescent="0.3">
      <c r="A49" s="41">
        <v>0.1</v>
      </c>
      <c r="B49" s="42" t="s">
        <v>69</v>
      </c>
      <c r="C49" s="43"/>
    </row>
    <row r="51" spans="1:3" ht="30" customHeight="1" x14ac:dyDescent="0.3">
      <c r="A51" s="70" t="s">
        <v>70</v>
      </c>
      <c r="B51" s="52"/>
      <c r="C51" s="52"/>
    </row>
  </sheetData>
  <mergeCells count="8">
    <mergeCell ref="A51:C51"/>
    <mergeCell ref="A1:D1"/>
    <mergeCell ref="A44:C44"/>
    <mergeCell ref="B8:D8"/>
    <mergeCell ref="A3:D3"/>
    <mergeCell ref="A27:C27"/>
    <mergeCell ref="A10:D10"/>
    <mergeCell ref="A26:C26"/>
  </mergeCells>
  <dataValidations count="1">
    <dataValidation type="list" allowBlank="1" showErrorMessage="1" errorTitle="Invalid value" error="Please select 3%, 5%, 8%, or 10% (or type a custom value in the cell above)." sqref="B6" xr:uid="{00000000-0002-0000-0500-000000000000}">
      <formula1>"3%,5%,8%,10%"</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E953C-ABDA-4647-B23B-BDE1F310FF0E}">
  <sheetPr codeName="Sheet7"/>
  <dimension ref="A3:B8"/>
  <sheetViews>
    <sheetView workbookViewId="0">
      <selection activeCell="G16" sqref="G16"/>
    </sheetView>
  </sheetViews>
  <sheetFormatPr defaultRowHeight="14.4" x14ac:dyDescent="0.3"/>
  <cols>
    <col min="1" max="1" width="12.5546875" bestFit="1" customWidth="1"/>
    <col min="2" max="2" width="14.88671875" bestFit="1" customWidth="1"/>
  </cols>
  <sheetData>
    <row r="3" spans="1:2" x14ac:dyDescent="0.3">
      <c r="A3" s="49" t="s">
        <v>71</v>
      </c>
      <c r="B3" s="9" t="s">
        <v>77</v>
      </c>
    </row>
    <row r="4" spans="1:2" x14ac:dyDescent="0.3">
      <c r="A4" s="50" t="s">
        <v>72</v>
      </c>
      <c r="B4" s="13">
        <v>383000</v>
      </c>
    </row>
    <row r="5" spans="1:2" x14ac:dyDescent="0.3">
      <c r="A5" s="50" t="s">
        <v>73</v>
      </c>
      <c r="B5" s="13">
        <v>487000</v>
      </c>
    </row>
    <row r="6" spans="1:2" x14ac:dyDescent="0.3">
      <c r="A6" s="50" t="s">
        <v>74</v>
      </c>
      <c r="B6" s="13">
        <v>546000</v>
      </c>
    </row>
    <row r="7" spans="1:2" x14ac:dyDescent="0.3">
      <c r="A7" s="50" t="s">
        <v>75</v>
      </c>
      <c r="B7" s="13">
        <v>663000</v>
      </c>
    </row>
    <row r="8" spans="1:2" x14ac:dyDescent="0.3">
      <c r="A8" s="50" t="s">
        <v>76</v>
      </c>
      <c r="B8" s="13">
        <v>2079000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Source Data</vt:lpstr>
      <vt:lpstr>Calculations</vt:lpstr>
      <vt:lpstr>Charts</vt:lpstr>
      <vt:lpstr>Dashboard</vt:lpstr>
      <vt:lpstr>Forecast</vt:lpstr>
      <vt:lpstr>What-If</vt:lpstr>
      <vt:lpstr>Quaterly View</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Abinash Dash</cp:lastModifiedBy>
  <cp:lastPrinted>2026-06-15T10:58:21Z</cp:lastPrinted>
  <dcterms:created xsi:type="dcterms:W3CDTF">2026-06-13T17:25:39Z</dcterms:created>
  <dcterms:modified xsi:type="dcterms:W3CDTF">2026-06-15T18:12:53Z</dcterms:modified>
</cp:coreProperties>
</file>