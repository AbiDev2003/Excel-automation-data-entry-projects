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ource 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What-If" sheetId="6" state="visible" r:id="rId6"/>
    <sheet xmlns:r="http://schemas.openxmlformats.org/officeDocument/2006/relationships" name="Quaterly View" sheetId="7" state="visible" r:id="rId7"/>
  </sheets>
  <definedNames>
    <definedName name="Slicer_Quarter">#N/A</definedName>
    <definedName name="_xlnm.Print_Area" localSheetId="3">'Dashboard'!$A$1:$K$41</definedName>
  </definedNames>
  <calcPr calcId="191029" fullCalcOnLoad="1"/>
  <pivotCaches>
    <pivotCache xmlns:r="http://schemas.openxmlformats.org/officeDocument/2006/relationships" cacheId="3" r:id="rId8"/>
  </pivotCaches>
</workbook>
</file>

<file path=xl/styles.xml><?xml version="1.0" encoding="utf-8"?>
<styleSheet xmlns="http://schemas.openxmlformats.org/spreadsheetml/2006/main">
  <numFmts count="1">
    <numFmt numFmtId="164" formatCode="0.0%"/>
  </numFmts>
  <fonts count="3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1F2A44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color rgb="FF6C757D"/>
      <sz val="9"/>
    </font>
    <font>
      <name val="Calibri"/>
      <family val="2"/>
      <b val="1"/>
      <color rgb="FF00B4D8"/>
      <sz val="22"/>
    </font>
    <font>
      <name val="Calibri"/>
      <family val="2"/>
      <color rgb="FF6C757D"/>
      <sz val="10"/>
    </font>
    <font>
      <name val="Calibri"/>
      <family val="2"/>
      <b val="1"/>
      <color rgb="FFEF476F"/>
      <sz val="22"/>
    </font>
    <font>
      <name val="Calibri"/>
      <family val="2"/>
      <b val="1"/>
      <color rgb="FF06D6A0"/>
      <sz val="22"/>
    </font>
    <font>
      <name val="Calibri"/>
      <family val="2"/>
      <b val="1"/>
      <color rgb="FF2E5090"/>
      <sz val="22"/>
    </font>
    <font>
      <name val="Calibri"/>
      <family val="2"/>
      <b val="1"/>
      <color rgb="FFFF9F1C"/>
      <sz val="22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6C757D"/>
      <sz val="14"/>
    </font>
    <font>
      <name val="Calibri"/>
      <family val="2"/>
      <b val="1"/>
      <color rgb="FF1B2A4A"/>
      <sz val="16"/>
    </font>
    <font>
      <name val="Calibri"/>
      <family val="2"/>
      <b val="1"/>
      <color rgb="FF2E5090"/>
      <sz val="12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color rgb="FFE65100"/>
      <sz val="12"/>
    </font>
    <font>
      <name val="Calibri"/>
      <family val="2"/>
      <b val="1"/>
      <color rgb="FFE65100"/>
      <sz val="11"/>
    </font>
    <font>
      <name val="Calibri"/>
      <family val="2"/>
      <b val="1"/>
      <color rgb="FF1B2A4A"/>
      <sz val="14"/>
    </font>
    <font>
      <name val="Calibri"/>
      <family val="2"/>
      <b val="1"/>
      <sz val="11"/>
    </font>
    <font>
      <name val="Calibri"/>
      <family val="2"/>
      <b val="1"/>
      <color rgb="FF1B2A4A"/>
      <sz val="16"/>
    </font>
    <font>
      <name val="Calibri"/>
      <family val="2"/>
      <b val="1"/>
      <color rgb="FF2E5090"/>
      <sz val="13"/>
    </font>
    <font>
      <name val="Calibri"/>
      <family val="2"/>
      <b val="1"/>
      <color rgb="FF1B2A4A"/>
      <sz val="11"/>
    </font>
    <font>
      <name val="Calibri"/>
      <family val="2"/>
      <b val="1"/>
      <color rgb="FF1B2A4A"/>
      <sz val="14"/>
    </font>
    <font>
      <name val="Calibri"/>
      <family val="2"/>
      <i val="1"/>
      <color rgb="FF808080"/>
      <sz val="10"/>
    </font>
    <font>
      <name val="Calibri"/>
      <family val="2"/>
      <color rgb="FF808080"/>
      <sz val="11"/>
    </font>
    <font>
      <name val="Calibri"/>
      <family val="2"/>
      <b val="1"/>
      <color rgb="FF808080"/>
      <sz val="10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color rgb="FF2E5090"/>
      <sz val="11"/>
    </font>
    <font>
      <name val="Calibri"/>
      <family val="2"/>
      <b val="1"/>
      <color rgb="FF1B8A3A"/>
      <sz val="18"/>
    </font>
    <font>
      <name val="Calibri"/>
      <family val="2"/>
      <b val="1"/>
      <color rgb="FF1B2A4A"/>
      <sz val="12"/>
    </font>
    <font>
      <name val="Calibri"/>
      <family val="2"/>
      <b val="1"/>
      <color rgb="FFE65100"/>
      <sz val="14"/>
    </font>
    <font>
      <name val="Calibri"/>
      <family val="2"/>
      <i val="1"/>
      <color rgb="FF2E5090"/>
      <sz val="9"/>
    </font>
  </fonts>
  <fills count="13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F4F6F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B2A4A"/>
        <bgColor rgb="FF1B2A4A"/>
      </patternFill>
    </fill>
    <fill>
      <patternFill patternType="solid">
        <fgColor rgb="FFF5F5F5"/>
        <bgColor rgb="FFF5F5F5"/>
      </patternFill>
    </fill>
    <fill>
      <patternFill patternType="solid">
        <fgColor rgb="FFE65100"/>
        <bgColor rgb="FFE65100"/>
      </patternFill>
    </fill>
    <fill>
      <patternFill patternType="solid">
        <fgColor rgb="FFE8F0FE"/>
        <bgColor rgb="FFE8F0FE"/>
      </patternFill>
    </fill>
    <fill>
      <patternFill patternType="solid">
        <fgColor rgb="FF1B2A4A"/>
        <bgColor rgb="FF1B2A4A"/>
      </patternFill>
    </fill>
    <fill>
      <patternFill patternType="solid">
        <fgColor rgb="FFF5F5F5"/>
        <bgColor rgb="FFF5F5F5"/>
      </patternFill>
    </fill>
  </fills>
  <borders count="11">
    <border>
      <left/>
      <right/>
      <top/>
      <bottom/>
      <diagonal/>
    </border>
    <border>
      <left style="thin">
        <color rgb="FFBDC5D1"/>
      </left>
      <right style="thin">
        <color rgb="FFBDC5D1"/>
      </right>
      <top style="thin">
        <color rgb="FFBDC5D1"/>
      </top>
      <bottom style="thin">
        <color rgb="FFBDC5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double">
        <color rgb="FF1B8A3A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center" vertical="center"/>
    </xf>
    <xf numFmtId="3" fontId="0" fillId="0" borderId="2" pivotButton="0" quotePrefix="0" xfId="0"/>
    <xf numFmtId="0" fontId="12" fillId="6" borderId="2" applyAlignment="1" pivotButton="0" quotePrefix="0" xfId="0">
      <alignment horizontal="center"/>
    </xf>
    <xf numFmtId="0" fontId="16" fillId="7" borderId="5" applyAlignment="1" pivotButton="0" quotePrefix="0" xfId="0">
      <alignment horizontal="center" vertical="center" wrapText="1"/>
    </xf>
    <xf numFmtId="1" fontId="17" fillId="0" borderId="5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3" fontId="17" fillId="0" borderId="5" applyAlignment="1" pivotButton="0" quotePrefix="0" xfId="0">
      <alignment horizontal="center" vertical="center"/>
    </xf>
    <xf numFmtId="1" fontId="17" fillId="8" borderId="5" applyAlignment="1" pivotButton="0" quotePrefix="0" xfId="0">
      <alignment horizontal="center" vertical="center"/>
    </xf>
    <xf numFmtId="0" fontId="17" fillId="8" borderId="5" applyAlignment="1" pivotButton="0" quotePrefix="0" xfId="0">
      <alignment horizontal="center" vertical="center"/>
    </xf>
    <xf numFmtId="3" fontId="17" fillId="8" borderId="5" applyAlignment="1" pivotButton="0" quotePrefix="0" xfId="0">
      <alignment horizontal="center" vertical="center"/>
    </xf>
    <xf numFmtId="0" fontId="16" fillId="9" borderId="5" applyAlignment="1" pivotButton="0" quotePrefix="0" xfId="0">
      <alignment horizontal="center" vertical="center" wrapText="1"/>
    </xf>
    <xf numFmtId="3" fontId="19" fillId="0" borderId="5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9" fillId="0" borderId="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164" fontId="25" fillId="10" borderId="6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27" fillId="0" borderId="7" applyAlignment="1" pivotButton="0" quotePrefix="0" xfId="0">
      <alignment horizontal="center" vertical="center"/>
    </xf>
    <xf numFmtId="0" fontId="28" fillId="0" borderId="0" pivotButton="0" quotePrefix="0" xfId="0"/>
    <xf numFmtId="0" fontId="29" fillId="11" borderId="7" applyAlignment="1" pivotButton="0" quotePrefix="0" xfId="0">
      <alignment horizontal="center" vertical="center" wrapText="1"/>
    </xf>
    <xf numFmtId="0" fontId="30" fillId="0" borderId="7" applyAlignment="1" pivotButton="0" quotePrefix="0" xfId="0">
      <alignment horizontal="center" vertical="center"/>
    </xf>
    <xf numFmtId="3" fontId="30" fillId="0" borderId="7" applyAlignment="1" pivotButton="0" quotePrefix="0" xfId="0">
      <alignment horizontal="center" vertical="center"/>
    </xf>
    <xf numFmtId="3" fontId="31" fillId="0" borderId="7" applyAlignment="1" pivotButton="0" quotePrefix="0" xfId="0">
      <alignment horizontal="center" vertical="center"/>
    </xf>
    <xf numFmtId="0" fontId="30" fillId="12" borderId="7" applyAlignment="1" pivotButton="0" quotePrefix="0" xfId="0">
      <alignment horizontal="center" vertical="center"/>
    </xf>
    <xf numFmtId="3" fontId="30" fillId="12" borderId="7" applyAlignment="1" pivotButton="0" quotePrefix="0" xfId="0">
      <alignment horizontal="center" vertical="center"/>
    </xf>
    <xf numFmtId="3" fontId="31" fillId="12" borderId="7" applyAlignment="1" pivotButton="0" quotePrefix="0" xfId="0">
      <alignment horizontal="center" vertical="center"/>
    </xf>
    <xf numFmtId="3" fontId="29" fillId="11" borderId="7" applyAlignment="1" pivotButton="0" quotePrefix="0" xfId="0">
      <alignment horizontal="center" vertical="center"/>
    </xf>
    <xf numFmtId="3" fontId="32" fillId="0" borderId="8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center"/>
    </xf>
    <xf numFmtId="9" fontId="30" fillId="0" borderId="7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30" fillId="0" borderId="7" pivotButton="0" quotePrefix="0" xfId="0"/>
    <xf numFmtId="9" fontId="30" fillId="10" borderId="7" applyAlignment="1" pivotButton="0" quotePrefix="0" xfId="0">
      <alignment horizontal="center" vertical="center"/>
    </xf>
    <xf numFmtId="0" fontId="26" fillId="10" borderId="7" applyAlignment="1" pivotButton="0" quotePrefix="0" xfId="0">
      <alignment horizontal="center" vertical="center"/>
    </xf>
    <xf numFmtId="0" fontId="30" fillId="10" borderId="7" pivotButton="0" quotePrefix="0" xfId="0"/>
    <xf numFmtId="0" fontId="29" fillId="11" borderId="7" applyAlignment="1" pivotButton="0" quotePrefix="0" xfId="0">
      <alignment horizontal="center" vertical="center"/>
    </xf>
    <xf numFmtId="1" fontId="30" fillId="0" borderId="7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0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3" fontId="9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3" fontId="10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/>
    </xf>
    <xf numFmtId="3" fontId="11" fillId="4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/>
    </xf>
    <xf numFmtId="3" fontId="6" fillId="4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 wrapText="1"/>
    </xf>
    <xf numFmtId="0" fontId="0" fillId="0" borderId="2" pivotButton="1" quotePrefix="0" xfId="0"/>
    <xf numFmtId="0" fontId="0" fillId="0" borderId="2" applyAlignment="1" pivotButton="0" quotePrefix="0" xfId="0">
      <alignment horizontal="left"/>
    </xf>
  </cellXfs>
  <cellStyles count="1">
    <cellStyle name="Normal" xfId="0" builtinId="0"/>
  </cellStyles>
  <dxfs count="16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Revenue Trend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"/>
          <y val="0.02015873015873016"/>
          <w val="0.8258205129536909"/>
          <h val="0.9445634920634921"/>
        </manualLayout>
      </layout>
      <lineChart>
        <grouping val="standard"/>
        <varyColors val="1"/>
        <ser>
          <idx val="0"/>
          <order val="0"/>
          <tx>
            <strRef>
              <f>Charts!$B$2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 w="28000">
              <a:solidFill>
                <a:srgbClr val="00B4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Charts!$A$3:$A$14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Charts!$B$3:$B$14</f>
              <numCache>
                <formatCode>#,##0</formatCode>
                <ptCount val="12"/>
                <pt idx="0">
                  <v>120000</v>
                </pt>
                <pt idx="1">
                  <v>135000</v>
                </pt>
                <pt idx="2">
                  <v>128000</v>
                </pt>
                <pt idx="3">
                  <v>150000</v>
                </pt>
                <pt idx="4">
                  <v>165000</v>
                </pt>
                <pt idx="5">
                  <v>172000</v>
                </pt>
                <pt idx="6">
                  <v>180000</v>
                </pt>
                <pt idx="7">
                  <v>176000</v>
                </pt>
                <pt idx="8">
                  <v>190000</v>
                </pt>
                <pt idx="9">
                  <v>205000</v>
                </pt>
                <pt idx="10">
                  <v>218000</v>
                </pt>
                <pt idx="11">
                  <v>240000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Revenue ($)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Revenue vs Expenses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Charts!$B$2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00B4D8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Charts!$A$3:$A$14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Charts!$B$3:$B$14</f>
              <numCache>
                <formatCode>#,##0</formatCode>
                <ptCount val="12"/>
                <pt idx="0">
                  <v>120000</v>
                </pt>
                <pt idx="1">
                  <v>135000</v>
                </pt>
                <pt idx="2">
                  <v>128000</v>
                </pt>
                <pt idx="3">
                  <v>150000</v>
                </pt>
                <pt idx="4">
                  <v>165000</v>
                </pt>
                <pt idx="5">
                  <v>172000</v>
                </pt>
                <pt idx="6">
                  <v>180000</v>
                </pt>
                <pt idx="7">
                  <v>176000</v>
                </pt>
                <pt idx="8">
                  <v>190000</v>
                </pt>
                <pt idx="9">
                  <v>205000</v>
                </pt>
                <pt idx="10">
                  <v>218000</v>
                </pt>
                <pt idx="11">
                  <v>240000</v>
                </pt>
              </numCache>
            </numRef>
          </val>
        </ser>
        <ser>
          <idx val="1"/>
          <order val="1"/>
          <tx>
            <strRef>
              <f>Charts!$C$2</f>
              <strCache>
                <ptCount val="1"/>
              </strCache>
            </strRef>
          </tx>
          <spPr>
            <a:solidFill xmlns:a="http://schemas.openxmlformats.org/drawingml/2006/main">
              <a:srgbClr val="EF476F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Charts!$A$3:$A$14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Charts!$C$3:$C$14</f>
              <numCache>
                <formatCode>General</formatCode>
                <ptCount val="12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Amount ($)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/>
            </a:pPr>
            <a:r>
              <a:rPr lang="en-IN"/>
              <a:t>Revenue Trend &amp; Profit Margin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Charts!$B$31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9B7C4A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Charts!$A$32:$A$43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Charts!$B$32:$B$43</f>
              <numCache>
                <formatCode>#,##0</formatCode>
                <ptCount val="12"/>
                <pt idx="0">
                  <v>120000</v>
                </pt>
                <pt idx="1">
                  <v>135000</v>
                </pt>
                <pt idx="2">
                  <v>128000</v>
                </pt>
                <pt idx="3">
                  <v>150000</v>
                </pt>
                <pt idx="4">
                  <v>165000</v>
                </pt>
                <pt idx="5">
                  <v>172000</v>
                </pt>
                <pt idx="6">
                  <v>180000</v>
                </pt>
                <pt idx="7">
                  <v>176000</v>
                </pt>
                <pt idx="8">
                  <v>190000</v>
                </pt>
                <pt idx="9">
                  <v>205000</v>
                </pt>
                <pt idx="10">
                  <v>218000</v>
                </pt>
                <pt idx="11">
                  <v>240000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609455"/>
        <axId val="98626255"/>
      </barChart>
      <lineChart>
        <grouping val="standard"/>
        <varyColors val="0"/>
        <ser>
          <idx val="1"/>
          <order val="1"/>
          <tx>
            <strRef>
              <f>Charts!$C$31</f>
              <strCache>
                <ptCount val="1"/>
                <pt idx="0">
                  <v>Profit Margin %</v>
                </pt>
              </strCache>
            </strRef>
          </tx>
          <spPr>
            <a:ln xmlns:a="http://schemas.openxmlformats.org/drawingml/2006/main" w="31750">
              <a:solidFill>
                <a:srgbClr val="2CA0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Charts!$A$32:$A$43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Charts!$C$32:$C$43</f>
              <numCache>
                <formatCode>General</formatCode>
                <ptCount val="12"/>
                <pt idx="0">
                  <v>0.3333333333333333</v>
                </pt>
                <pt idx="1">
                  <v>0.3703703703703703</v>
                </pt>
                <pt idx="2">
                  <v>0.359375</v>
                </pt>
                <pt idx="3">
                  <v>0.4</v>
                </pt>
                <pt idx="4">
                  <v>0.4060606060606061</v>
                </pt>
                <pt idx="5">
                  <v>0.4069767441860465</v>
                </pt>
                <pt idx="6">
                  <v>0.4</v>
                </pt>
                <pt idx="7">
                  <v>0.4034090909090909</v>
                </pt>
                <pt idx="8">
                  <v>0.4105263157894737</v>
                </pt>
                <pt idx="9">
                  <v>0.424390243902439</v>
                </pt>
                <pt idx="10">
                  <v>0.426605504587156</v>
                </pt>
                <pt idx="11">
                  <v>0.425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628655"/>
        <axId val="98630575"/>
      </lineChart>
      <catAx>
        <axId val="98609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98626255"/>
        <crosses val="autoZero"/>
        <auto val="1"/>
        <lblAlgn val="ctr"/>
        <lblOffset val="100"/>
        <noMultiLvlLbl val="0"/>
      </catAx>
      <valAx>
        <axId val="98626255"/>
        <scaling>
          <orientation val="minMax"/>
        </scaling>
        <delete val="0"/>
        <axPos val="l"/>
        <majorGridlines/>
        <numFmt formatCode="#,##0" sourceLinked="1"/>
        <majorTickMark val="out"/>
        <minorTickMark val="none"/>
        <tickLblPos val="nextTo"/>
        <crossAx val="98609455"/>
        <crosses val="autoZero"/>
        <crossBetween val="between"/>
      </valAx>
      <catAx>
        <axId val="98628655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98630575"/>
        <crosses val="autoZero"/>
        <auto val="1"/>
        <lblAlgn val="ctr"/>
        <lblOffset val="100"/>
        <noMultiLvlLbl val="0"/>
      </catAx>
      <valAx>
        <axId val="98630575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crossAx val="98628655"/>
        <crosses val="max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Revenue Forecast with 90% Confidence Interval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1763888888888889"/>
          <y val="0.02771825396825397"/>
          <w val="0.9647222222222223"/>
          <h val="0.9344841269841268"/>
        </manualLayout>
      </layout>
      <lineChart>
        <grouping val="standard"/>
        <varyColors val="1"/>
        <ser>
          <idx val="0"/>
          <order val="0"/>
          <tx>
            <strRef>
              <f>Forecast!$C$4</f>
              <strCache>
                <ptCount val="1"/>
                <pt idx="0">
                  <v>Revenue (Actual)</v>
                </pt>
              </strCache>
            </strRef>
          </tx>
          <spPr>
            <a:ln xmlns:a="http://schemas.openxmlformats.org/drawingml/2006/main" w="28000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Forecast!$A$5:$A$22</f>
              <strCache>
                <ptCount val="1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3">
                  <v>Forecast Period  (Next Quarter)</v>
                </pt>
                <pt idx="14">
                  <v>Period</v>
                </pt>
                <pt idx="15">
                  <v>13</v>
                </pt>
                <pt idx="16">
                  <v>14</v>
                </pt>
                <pt idx="17">
                  <v>15</v>
                </pt>
              </strCache>
            </strRef>
          </cat>
          <val>
            <numRef>
              <f>Forecast!$C$5:$C$16</f>
              <numCache>
                <formatCode>#,##0</formatCode>
                <ptCount val="12"/>
                <pt idx="0">
                  <v>120000</v>
                </pt>
                <pt idx="1">
                  <v>135000</v>
                </pt>
                <pt idx="2">
                  <v>128000</v>
                </pt>
                <pt idx="3">
                  <v>150000</v>
                </pt>
                <pt idx="4">
                  <v>165000</v>
                </pt>
                <pt idx="5">
                  <v>172000</v>
                </pt>
                <pt idx="6">
                  <v>180000</v>
                </pt>
                <pt idx="7">
                  <v>176000</v>
                </pt>
                <pt idx="8">
                  <v>190000</v>
                </pt>
                <pt idx="9">
                  <v>205000</v>
                </pt>
                <pt idx="10">
                  <v>218000</v>
                </pt>
                <pt idx="11">
                  <v>240000</v>
                </pt>
              </numCache>
            </numRef>
          </val>
          <smooth val="1"/>
        </ser>
        <ser>
          <idx val="1"/>
          <order val="1"/>
          <tx>
            <strRef>
              <f>Forecast!$D$4</f>
              <strCache>
                <ptCount val="1"/>
                <pt idx="0">
                  <v>Forecast Revenue</v>
                </pt>
              </strCache>
            </strRef>
          </tx>
          <spPr>
            <a:ln xmlns:a="http://schemas.openxmlformats.org/drawingml/2006/main" w="28000">
              <a:solidFill>
                <a:srgbClr val="E651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Forecast!$A$5:$A$22</f>
              <strCache>
                <ptCount val="1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3">
                  <v>Forecast Period  (Next Quarter)</v>
                </pt>
                <pt idx="14">
                  <v>Period</v>
                </pt>
                <pt idx="15">
                  <v>13</v>
                </pt>
                <pt idx="16">
                  <v>14</v>
                </pt>
                <pt idx="17">
                  <v>15</v>
                </pt>
              </strCache>
            </strRef>
          </cat>
          <val>
            <numRef>
              <f>Forecast!$D$5:$D$22</f>
              <numCache>
                <formatCode>#,##0</formatCode>
                <ptCount val="18"/>
                <pt idx="0">
                  <v>120000</v>
                </pt>
                <pt idx="1">
                  <v>135000</v>
                </pt>
                <pt idx="2">
                  <v>128000</v>
                </pt>
                <pt idx="3">
                  <v>150000</v>
                </pt>
                <pt idx="4">
                  <v>165000</v>
                </pt>
                <pt idx="5">
                  <v>172000</v>
                </pt>
                <pt idx="6">
                  <v>180000</v>
                </pt>
                <pt idx="7">
                  <v>176000</v>
                </pt>
                <pt idx="8">
                  <v>190000</v>
                </pt>
                <pt idx="9">
                  <v>205000</v>
                </pt>
                <pt idx="10">
                  <v>218000</v>
                </pt>
                <pt idx="11">
                  <v>240000</v>
                </pt>
                <pt idx="14">
                  <formatCode>General</formatCode>
                  <v>0</v>
                </pt>
                <pt idx="15">
                  <formatCode>General</formatCode>
                  <v>239303.657770735</v>
                </pt>
                <pt idx="16">
                  <v>249240.6656547524</v>
                </pt>
                <pt idx="17">
                  <v>259177.6735387699</v>
                </pt>
              </numCache>
            </numRef>
          </val>
          <smooth val="1"/>
        </ser>
        <ser>
          <idx val="2"/>
          <order val="2"/>
          <tx>
            <strRef>
              <f>Forecast!$G$4</f>
              <strCache>
                <ptCount val="1"/>
                <pt idx="0">
                  <v>Upper Bound</v>
                </pt>
              </strCache>
            </strRef>
          </tx>
          <spPr>
            <a:ln xmlns:a="http://schemas.openxmlformats.org/drawingml/2006/main" w="12000">
              <a:solidFill>
                <a:srgbClr val="A0A0A0"/>
              </a:solidFill>
              <a:prstDash val="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Forecast!$A$5:$A$22</f>
              <strCache>
                <ptCount val="1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3">
                  <v>Forecast Period  (Next Quarter)</v>
                </pt>
                <pt idx="14">
                  <v>Period</v>
                </pt>
                <pt idx="15">
                  <v>13</v>
                </pt>
                <pt idx="16">
                  <v>14</v>
                </pt>
                <pt idx="17">
                  <v>15</v>
                </pt>
              </strCache>
            </strRef>
          </cat>
          <val>
            <numRef>
              <f>Forecast!$G$5:$G$22</f>
              <numCache>
                <formatCode>General</formatCode>
                <ptCount val="18"/>
                <pt idx="14">
                  <v>0</v>
                </pt>
                <pt idx="15">
                  <formatCode>#,##0</formatCode>
                  <v>251075.677286961</v>
                </pt>
                <pt idx="16">
                  <formatCode>#,##0</formatCode>
                  <v>261012.738144947</v>
                </pt>
                <pt idx="17">
                  <formatCode>#,##0</formatCode>
                  <v>270949.8402043201</v>
                </pt>
              </numCache>
            </numRef>
          </val>
          <smooth val="1"/>
        </ser>
        <ser>
          <idx val="3"/>
          <order val="3"/>
          <tx>
            <strRef>
              <f>Forecast!$F$4</f>
              <strCache>
                <ptCount val="1"/>
                <pt idx="0">
                  <v>Lower Bound</v>
                </pt>
              </strCache>
            </strRef>
          </tx>
          <spPr>
            <a:ln xmlns:a="http://schemas.openxmlformats.org/drawingml/2006/main" w="12000">
              <a:solidFill>
                <a:srgbClr val="A0A0A0"/>
              </a:solidFill>
              <a:prstDash val="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Forecast!$A$5:$A$22</f>
              <strCache>
                <ptCount val="1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3">
                  <v>Forecast Period  (Next Quarter)</v>
                </pt>
                <pt idx="14">
                  <v>Period</v>
                </pt>
                <pt idx="15">
                  <v>13</v>
                </pt>
                <pt idx="16">
                  <v>14</v>
                </pt>
                <pt idx="17">
                  <v>15</v>
                </pt>
              </strCache>
            </strRef>
          </cat>
          <val>
            <numRef>
              <f>Forecast!$F$5:$F$22</f>
              <numCache>
                <formatCode>General</formatCode>
                <ptCount val="18"/>
                <pt idx="14">
                  <v>0</v>
                </pt>
                <pt idx="15">
                  <formatCode>#,##0</formatCode>
                  <v>227531.638254509</v>
                </pt>
                <pt idx="16">
                  <formatCode>#,##0</formatCode>
                  <v>237468.5931645578</v>
                </pt>
                <pt idx="17">
                  <formatCode>#,##0</formatCode>
                  <v>247405.5068732196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Period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Revenue ($)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Monthly Revenue Projection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'What-If'!$B$11</f>
              <strCache>
                <ptCount val="1"/>
                <pt idx="0">
                  <v>Starting Revenue</v>
                </pt>
              </strCache>
            </strRef>
          </tx>
          <spPr>
            <a:solidFill xmlns:a="http://schemas.openxmlformats.org/drawingml/2006/main">
              <a:srgbClr val="A0C4E8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'What-If'!$A$12:$A$23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'What-If'!$B$12:$B$23</f>
              <numCache>
                <formatCode>#,##0</formatCode>
                <ptCount val="12"/>
                <pt idx="0">
                  <v>240000</v>
                </pt>
                <pt idx="1">
                  <v>252000</v>
                </pt>
                <pt idx="2">
                  <v>264600</v>
                </pt>
                <pt idx="3">
                  <v>277830</v>
                </pt>
                <pt idx="4">
                  <v>291721.5</v>
                </pt>
                <pt idx="5">
                  <v>306307.575</v>
                </pt>
                <pt idx="6">
                  <v>321622.95375</v>
                </pt>
                <pt idx="7">
                  <v>337704.1014375</v>
                </pt>
                <pt idx="8">
                  <v>354589.306509375</v>
                </pt>
                <pt idx="9">
                  <v>372318.7718348438</v>
                </pt>
                <pt idx="10">
                  <v>390934.710426586</v>
                </pt>
                <pt idx="11">
                  <v>410481.4459479153</v>
                </pt>
              </numCache>
            </numRef>
          </val>
        </ser>
        <ser>
          <idx val="1"/>
          <order val="1"/>
          <tx>
            <strRef>
              <f>'What-If'!$C$11</f>
              <strCache>
                <ptCount val="1"/>
                <pt idx="0">
                  <v>Projected Revenue</v>
                </pt>
              </strCache>
            </strRef>
          </tx>
          <spPr>
            <a:solidFill xmlns:a="http://schemas.openxmlformats.org/drawingml/2006/main">
              <a:srgbClr val="2E5090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'What-If'!$A$12:$A$23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'What-If'!$C$12:$C$23</f>
              <numCache>
                <formatCode>#,##0</formatCode>
                <ptCount val="12"/>
                <pt idx="0">
                  <v>252000</v>
                </pt>
                <pt idx="1">
                  <v>264600</v>
                </pt>
                <pt idx="2">
                  <v>277830</v>
                </pt>
                <pt idx="3">
                  <v>291721.5</v>
                </pt>
                <pt idx="4">
                  <v>306307.575</v>
                </pt>
                <pt idx="5">
                  <v>321622.95375</v>
                </pt>
                <pt idx="6">
                  <v>337704.1014375</v>
                </pt>
                <pt idx="7">
                  <v>354589.306509375</v>
                </pt>
                <pt idx="8">
                  <v>372318.7718348438</v>
                </pt>
                <pt idx="9">
                  <v>390934.710426586</v>
                </pt>
                <pt idx="10">
                  <v>410481.4459479153</v>
                </pt>
                <pt idx="11">
                  <v>431005.5182453111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Revenue ($)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29</row>
      <rowOff>0</rowOff>
    </from>
    <to>
      <col>6</col>
      <colOff>0</colOff>
      <row>40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oneCellAnchor>
    <from>
      <col>0</col>
      <colOff>0</colOff>
      <row>18</row>
      <rowOff>0</rowOff>
    </from>
    <ext cx="558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7</row>
      <rowOff>0</rowOff>
    </from>
    <ext cx="5580000" cy="19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121920</colOff>
      <row>30</row>
      <rowOff>83820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28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HP" refreshedDate="46188.65059791667" createdVersion="8" refreshedVersion="8" minRefreshableVersion="3" recordCount="12" r:id="rId1">
  <cacheSource type="worksheet">
    <worksheetSource name="SalesData"/>
  </cacheSource>
  <cacheFields count="7">
    <cacheField name="Month" uniqueList="1" numFmtId="0" sqlType="0" hierarchy="0" level="0" databaseField="1">
      <sharedItems count="0"/>
    </cacheField>
    <cacheField name="Revenue" uniqueList="1" numFmtId="3" sqlType="0" hierarchy="0" level="0" databaseField="1">
      <sharedItems count="0" containsInteger="1" containsNumber="1" containsSemiMixedTypes="0" containsString="0" minValue="120000" maxValue="240000"/>
    </cacheField>
    <cacheField name="Expenses" uniqueList="1" numFmtId="3" sqlType="0" hierarchy="0" level="0" databaseField="1">
      <sharedItems count="0" containsInteger="1" containsNumber="1" containsSemiMixedTypes="0" containsString="0" minValue="80000" maxValue="138000"/>
    </cacheField>
    <cacheField name="Leads" uniqueList="1" numFmtId="3" sqlType="0" hierarchy="0" level="0" databaseField="1">
      <sharedItems count="0" containsInteger="1" containsNumber="1" containsSemiMixedTypes="0" containsString="0" minValue="450" maxValue="900"/>
    </cacheField>
    <cacheField name="Orders" uniqueList="1" numFmtId="3" sqlType="0" hierarchy="0" level="0" databaseField="1">
      <sharedItems count="0" containsInteger="1" containsNumber="1" containsSemiMixedTypes="0" containsString="0" minValue="90" maxValue="182"/>
    </cacheField>
    <cacheField name="Month Num" uniqueList="1" numFmtId="1" sqlType="0" hierarchy="0" level="0" databaseField="1">
      <sharedItems count="0" containsInteger="1" containsNumber="1" containsSemiMixedTypes="0" containsString="0" minValue="1" maxValue="12"/>
    </cacheField>
    <cacheField name="Quarter" uniqueList="1" numFmtId="0" sqlType="0" hierarchy="0" level="0" databaseField="1">
      <sharedItems count="4">
        <s v="Q1"/>
        <s v="Q2"/>
        <s v="Q3"/>
        <s v="Q4"/>
      </sharedItems>
    </cacheField>
  </cacheFields>
</pivotCacheDefinition>
</file>

<file path=xl/pivotCache/pivotCacheRecords1.xml><?xml version="1.0" encoding="utf-8"?>
<pivotCacheRecords xmlns="http://schemas.openxmlformats.org/spreadsheetml/2006/main" count="12">
  <r>
    <s v="Jan"/>
    <n v="120000"/>
    <n v="80000"/>
    <n v="450"/>
    <n v="90"/>
    <n v="1"/>
    <x v="0"/>
  </r>
  <r>
    <s v="Feb"/>
    <n v="135000"/>
    <n v="85000"/>
    <n v="500"/>
    <n v="100"/>
    <n v="2"/>
    <x v="0"/>
  </r>
  <r>
    <s v="Mar"/>
    <n v="128000"/>
    <n v="82000"/>
    <n v="470"/>
    <n v="95"/>
    <n v="3"/>
    <x v="0"/>
  </r>
  <r>
    <s v="Apr"/>
    <n v="150000"/>
    <n v="90000"/>
    <n v="560"/>
    <n v="110"/>
    <n v="4"/>
    <x v="1"/>
  </r>
  <r>
    <s v="May"/>
    <n v="165000"/>
    <n v="98000"/>
    <n v="620"/>
    <n v="125"/>
    <n v="5"/>
    <x v="1"/>
  </r>
  <r>
    <s v="Jun"/>
    <n v="172000"/>
    <n v="102000"/>
    <n v="650"/>
    <n v="130"/>
    <n v="6"/>
    <x v="1"/>
  </r>
  <r>
    <s v="Jul"/>
    <n v="180000"/>
    <n v="108000"/>
    <n v="690"/>
    <n v="138"/>
    <n v="7"/>
    <x v="2"/>
  </r>
  <r>
    <s v="Aug"/>
    <n v="176000"/>
    <n v="105000"/>
    <n v="670"/>
    <n v="134"/>
    <n v="8"/>
    <x v="2"/>
  </r>
  <r>
    <s v="Sep"/>
    <n v="190000"/>
    <n v="112000"/>
    <n v="720"/>
    <n v="145"/>
    <n v="9"/>
    <x v="2"/>
  </r>
  <r>
    <s v="Oct"/>
    <n v="205000"/>
    <n v="118000"/>
    <n v="780"/>
    <n v="158"/>
    <n v="10"/>
    <x v="3"/>
  </r>
  <r>
    <s v="Nov"/>
    <n v="218000"/>
    <n v="125000"/>
    <n v="820"/>
    <n v="165"/>
    <n v="11"/>
    <x v="3"/>
  </r>
  <r>
    <s v="Dec"/>
    <n v="240000"/>
    <n v="138000"/>
    <n v="900"/>
    <n v="182"/>
    <n v="12"/>
    <x v="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8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</pivotFields>
  <rowFields count="1">
    <field x="6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Sum of Revenue" fld="1" subtotal="sum" showDataAs="normal" baseField="0" baseItem="0" numFmtId="3"/>
  </dataFields>
  <formats count="12">
    <format action="formatting" dxfId="11">
      <pivotArea type="all" dataOnly="0" outline="0" fieldPosition="0"/>
    </format>
    <format action="formatting" dxfId="10">
      <pivotArea type="normal" dataOnly="1" outline="0" collapsedLevelsAreSubtotals="1" fieldPosition="0"/>
    </format>
    <format action="formatting" dxfId="9">
      <pivotArea field="6" type="button" dataOnly="0" labelOnly="1" outline="0" axis="axisRow" fieldPosition="0"/>
    </format>
    <format action="formatting" dxfId="8">
      <pivotArea type="normal" dataOnly="0" labelOnly="1" outline="1" fieldPosition="0">
        <references count="1">
          <reference field="6"/>
        </references>
      </pivotArea>
    </format>
    <format action="formatting" dxfId="7">
      <pivotArea type="normal" dataOnly="0" labelOnly="1" grandRow="1" outline="0" fieldPosition="0"/>
    </format>
    <format action="formatting" dxfId="6">
      <pivotArea type="normal" dataOnly="0" labelOnly="1" outline="0" axis="axisValues" fieldPosition="0"/>
    </format>
    <format action="formatting" dxfId="5">
      <pivotArea type="all" dataOnly="0" outline="0" fieldPosition="0"/>
    </format>
    <format action="formatting" dxfId="4">
      <pivotArea type="normal" dataOnly="1" outline="0" collapsedLevelsAreSubtotals="1" fieldPosition="0"/>
    </format>
    <format action="formatting" dxfId="3">
      <pivotArea field="6" type="button" dataOnly="0" labelOnly="1" outline="0" axis="axisRow" fieldPosition="0"/>
    </format>
    <format action="formatting" dxfId="2">
      <pivotArea type="normal" dataOnly="0" labelOnly="1" outline="1" fieldPosition="0">
        <references count="1">
          <reference field="6"/>
        </references>
      </pivotArea>
    </format>
    <format action="formatting" dxfId="1">
      <pivotArea type="normal" dataOnly="0" labelOnly="1" grandRow="1" outline="0" fieldPosition="0"/>
    </format>
    <format action="formatting" dxfId="0">
      <pivotArea type="normal"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SalesData" displayName="SalesData" ref="A1:G13" headerRowCount="1">
  <autoFilter ref="A1:G13"/>
  <tableColumns count="7">
    <tableColumn id="1" name="Month"/>
    <tableColumn id="2" name="Revenue"/>
    <tableColumn id="3" name="Expenses"/>
    <tableColumn id="4" name="Leads"/>
    <tableColumn id="5" name="Orders"/>
    <tableColumn id="6" name="Month Num"/>
    <tableColumn id="7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tabColor rgb="FF6C757D"/>
    <outlinePr summaryBelow="1" summaryRight="1"/>
    <pageSetUpPr/>
  </sheetPr>
  <dimension ref="A1:G13"/>
  <sheetViews>
    <sheetView tabSelected="1" workbookViewId="0">
      <selection activeCell="H15" sqref="H15"/>
    </sheetView>
  </sheetViews>
  <sheetFormatPr baseColWidth="8" defaultRowHeight="14.4"/>
  <cols>
    <col width="12" customWidth="1" style="50" min="1" max="1"/>
    <col width="18" customWidth="1" style="50" min="2" max="5"/>
    <col width="12" customWidth="1" style="50" min="6" max="6"/>
    <col width="10" customWidth="1" style="50" min="7" max="7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Leads</t>
        </is>
      </c>
      <c r="E1" s="1" t="inlineStr">
        <is>
          <t>Orders</t>
        </is>
      </c>
      <c r="F1" s="47" t="inlineStr">
        <is>
          <t>Month Num</t>
        </is>
      </c>
      <c r="G1" s="47" t="inlineStr">
        <is>
          <t>Quarter</t>
        </is>
      </c>
    </row>
    <row r="2">
      <c r="A2" s="2" t="inlineStr">
        <is>
          <t>Jan</t>
        </is>
      </c>
      <c r="B2" s="3" t="n">
        <v>120000</v>
      </c>
      <c r="C2" s="3" t="n">
        <v>80000</v>
      </c>
      <c r="D2" s="3" t="n">
        <v>450</v>
      </c>
      <c r="E2" s="3" t="n">
        <v>90</v>
      </c>
      <c r="F2" s="48">
        <f>MATCH(A2,{"Jan","Feb","Mar","Apr","May","Jun","Jul","Aug","Sep","Oct","Nov","Dec"},0)</f>
        <v/>
      </c>
      <c r="G2" s="32">
        <f>"Q"&amp;ROUNDUP(MATCH(A2,{"Jan","Feb","Mar","Apr","May","Jun","Jul","Aug","Sep","Oct","Nov","Dec"},0)/3,0)</f>
        <v/>
      </c>
    </row>
    <row r="3">
      <c r="A3" s="2" t="inlineStr">
        <is>
          <t>Feb</t>
        </is>
      </c>
      <c r="B3" s="3" t="n">
        <v>135000</v>
      </c>
      <c r="C3" s="3" t="n">
        <v>85000</v>
      </c>
      <c r="D3" s="3" t="n">
        <v>500</v>
      </c>
      <c r="E3" s="3" t="n">
        <v>100</v>
      </c>
      <c r="F3" s="48">
        <f>MATCH(A3,{"Jan","Feb","Mar","Apr","May","Jun","Jul","Aug","Sep","Oct","Nov","Dec"},0)</f>
        <v/>
      </c>
      <c r="G3" s="32">
        <f>"Q"&amp;ROUNDUP(MATCH(A3,{"Jan","Feb","Mar","Apr","May","Jun","Jul","Aug","Sep","Oct","Nov","Dec"},0)/3,0)</f>
        <v/>
      </c>
    </row>
    <row r="4">
      <c r="A4" s="2" t="inlineStr">
        <is>
          <t>Mar</t>
        </is>
      </c>
      <c r="B4" s="3" t="n">
        <v>128000</v>
      </c>
      <c r="C4" s="3" t="n">
        <v>82000</v>
      </c>
      <c r="D4" s="3" t="n">
        <v>470</v>
      </c>
      <c r="E4" s="3" t="n">
        <v>95</v>
      </c>
      <c r="F4" s="48">
        <f>MATCH(A4,{"Jan","Feb","Mar","Apr","May","Jun","Jul","Aug","Sep","Oct","Nov","Dec"},0)</f>
        <v/>
      </c>
      <c r="G4" s="32">
        <f>"Q"&amp;ROUNDUP(MATCH(A4,{"Jan","Feb","Mar","Apr","May","Jun","Jul","Aug","Sep","Oct","Nov","Dec"},0)/3,0)</f>
        <v/>
      </c>
    </row>
    <row r="5">
      <c r="A5" s="2" t="inlineStr">
        <is>
          <t>Apr</t>
        </is>
      </c>
      <c r="B5" s="3" t="n">
        <v>150000</v>
      </c>
      <c r="C5" s="3" t="n">
        <v>90000</v>
      </c>
      <c r="D5" s="3" t="n">
        <v>560</v>
      </c>
      <c r="E5" s="3" t="n">
        <v>110</v>
      </c>
      <c r="F5" s="48">
        <f>MATCH(A5,{"Jan","Feb","Mar","Apr","May","Jun","Jul","Aug","Sep","Oct","Nov","Dec"},0)</f>
        <v/>
      </c>
      <c r="G5" s="32">
        <f>"Q"&amp;ROUNDUP(MATCH(A5,{"Jan","Feb","Mar","Apr","May","Jun","Jul","Aug","Sep","Oct","Nov","Dec"},0)/3,0)</f>
        <v/>
      </c>
    </row>
    <row r="6">
      <c r="A6" s="2" t="inlineStr">
        <is>
          <t>May</t>
        </is>
      </c>
      <c r="B6" s="3" t="n">
        <v>165000</v>
      </c>
      <c r="C6" s="3" t="n">
        <v>98000</v>
      </c>
      <c r="D6" s="3" t="n">
        <v>620</v>
      </c>
      <c r="E6" s="3" t="n">
        <v>125</v>
      </c>
      <c r="F6" s="48">
        <f>MATCH(A6,{"Jan","Feb","Mar","Apr","May","Jun","Jul","Aug","Sep","Oct","Nov","Dec"},0)</f>
        <v/>
      </c>
      <c r="G6" s="32">
        <f>"Q"&amp;ROUNDUP(MATCH(A6,{"Jan","Feb","Mar","Apr","May","Jun","Jul","Aug","Sep","Oct","Nov","Dec"},0)/3,0)</f>
        <v/>
      </c>
    </row>
    <row r="7">
      <c r="A7" s="2" t="inlineStr">
        <is>
          <t>Jun</t>
        </is>
      </c>
      <c r="B7" s="3" t="n">
        <v>172000</v>
      </c>
      <c r="C7" s="3" t="n">
        <v>102000</v>
      </c>
      <c r="D7" s="3" t="n">
        <v>650</v>
      </c>
      <c r="E7" s="3" t="n">
        <v>130</v>
      </c>
      <c r="F7" s="48">
        <f>MATCH(A7,{"Jan","Feb","Mar","Apr","May","Jun","Jul","Aug","Sep","Oct","Nov","Dec"},0)</f>
        <v/>
      </c>
      <c r="G7" s="32">
        <f>"Q"&amp;ROUNDUP(MATCH(A7,{"Jan","Feb","Mar","Apr","May","Jun","Jul","Aug","Sep","Oct","Nov","Dec"},0)/3,0)</f>
        <v/>
      </c>
    </row>
    <row r="8">
      <c r="A8" s="2" t="inlineStr">
        <is>
          <t>Jul</t>
        </is>
      </c>
      <c r="B8" s="3" t="n">
        <v>180000</v>
      </c>
      <c r="C8" s="3" t="n">
        <v>108000</v>
      </c>
      <c r="D8" s="3" t="n">
        <v>690</v>
      </c>
      <c r="E8" s="3" t="n">
        <v>138</v>
      </c>
      <c r="F8" s="48">
        <f>MATCH(A8,{"Jan","Feb","Mar","Apr","May","Jun","Jul","Aug","Sep","Oct","Nov","Dec"},0)</f>
        <v/>
      </c>
      <c r="G8" s="32">
        <f>"Q"&amp;ROUNDUP(MATCH(A8,{"Jan","Feb","Mar","Apr","May","Jun","Jul","Aug","Sep","Oct","Nov","Dec"},0)/3,0)</f>
        <v/>
      </c>
    </row>
    <row r="9">
      <c r="A9" s="2" t="inlineStr">
        <is>
          <t>Aug</t>
        </is>
      </c>
      <c r="B9" s="3" t="n">
        <v>176000</v>
      </c>
      <c r="C9" s="3" t="n">
        <v>105000</v>
      </c>
      <c r="D9" s="3" t="n">
        <v>670</v>
      </c>
      <c r="E9" s="3" t="n">
        <v>134</v>
      </c>
      <c r="F9" s="48">
        <f>MATCH(A9,{"Jan","Feb","Mar","Apr","May","Jun","Jul","Aug","Sep","Oct","Nov","Dec"},0)</f>
        <v/>
      </c>
      <c r="G9" s="32">
        <f>"Q"&amp;ROUNDUP(MATCH(A9,{"Jan","Feb","Mar","Apr","May","Jun","Jul","Aug","Sep","Oct","Nov","Dec"},0)/3,0)</f>
        <v/>
      </c>
    </row>
    <row r="10">
      <c r="A10" s="2" t="inlineStr">
        <is>
          <t>Sep</t>
        </is>
      </c>
      <c r="B10" s="3" t="n">
        <v>190000</v>
      </c>
      <c r="C10" s="3" t="n">
        <v>112000</v>
      </c>
      <c r="D10" s="3" t="n">
        <v>720</v>
      </c>
      <c r="E10" s="3" t="n">
        <v>145</v>
      </c>
      <c r="F10" s="48">
        <f>MATCH(A10,{"Jan","Feb","Mar","Apr","May","Jun","Jul","Aug","Sep","Oct","Nov","Dec"},0)</f>
        <v/>
      </c>
      <c r="G10" s="32">
        <f>"Q"&amp;ROUNDUP(MATCH(A10,{"Jan","Feb","Mar","Apr","May","Jun","Jul","Aug","Sep","Oct","Nov","Dec"},0)/3,0)</f>
        <v/>
      </c>
    </row>
    <row r="11">
      <c r="A11" s="2" t="inlineStr">
        <is>
          <t>Oct</t>
        </is>
      </c>
      <c r="B11" s="3" t="n">
        <v>205000</v>
      </c>
      <c r="C11" s="3" t="n">
        <v>118000</v>
      </c>
      <c r="D11" s="3" t="n">
        <v>780</v>
      </c>
      <c r="E11" s="3" t="n">
        <v>158</v>
      </c>
      <c r="F11" s="48">
        <f>MATCH(A11,{"Jan","Feb","Mar","Apr","May","Jun","Jul","Aug","Sep","Oct","Nov","Dec"},0)</f>
        <v/>
      </c>
      <c r="G11" s="32">
        <f>"Q"&amp;ROUNDUP(MATCH(A11,{"Jan","Feb","Mar","Apr","May","Jun","Jul","Aug","Sep","Oct","Nov","Dec"},0)/3,0)</f>
        <v/>
      </c>
    </row>
    <row r="12">
      <c r="A12" s="2" t="inlineStr">
        <is>
          <t>Nov</t>
        </is>
      </c>
      <c r="B12" s="3" t="n">
        <v>218000</v>
      </c>
      <c r="C12" s="3" t="n">
        <v>125000</v>
      </c>
      <c r="D12" s="3" t="n">
        <v>820</v>
      </c>
      <c r="E12" s="3" t="n">
        <v>165</v>
      </c>
      <c r="F12" s="48">
        <f>MATCH(A12,{"Jan","Feb","Mar","Apr","May","Jun","Jul","Aug","Sep","Oct","Nov","Dec"},0)</f>
        <v/>
      </c>
      <c r="G12" s="32">
        <f>"Q"&amp;ROUNDUP(MATCH(A12,{"Jan","Feb","Mar","Apr","May","Jun","Jul","Aug","Sep","Oct","Nov","Dec"},0)/3,0)</f>
        <v/>
      </c>
    </row>
    <row r="13">
      <c r="A13" s="2" t="inlineStr">
        <is>
          <t>Dec</t>
        </is>
      </c>
      <c r="B13" s="3" t="n">
        <v>240000</v>
      </c>
      <c r="C13" s="3" t="n">
        <v>138000</v>
      </c>
      <c r="D13" s="3" t="n">
        <v>900</v>
      </c>
      <c r="E13" s="3" t="n">
        <v>182</v>
      </c>
      <c r="F13" s="48">
        <f>MATCH(A13,{"Jan","Feb","Mar","Apr","May","Jun","Jul","Aug","Sep","Oct","Nov","Dec"},0)</f>
        <v/>
      </c>
      <c r="G13" s="32">
        <f>"Q"&amp;ROUNDUP(MATCH(A13,{"Jan","Feb","Mar","Apr","May","Jun","Jul","Aug","Sep","Oct","Nov","Dec"},0)/3,0)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E5090"/>
    <outlinePr summaryBelow="1" summaryRight="1"/>
    <pageSetUpPr/>
  </sheetPr>
  <dimension ref="A1:H14"/>
  <sheetViews>
    <sheetView workbookViewId="0">
      <selection activeCell="E18" sqref="E18"/>
    </sheetView>
  </sheetViews>
  <sheetFormatPr baseColWidth="8" defaultRowHeight="14.4"/>
  <cols>
    <col width="14" customWidth="1" style="50" min="1" max="1"/>
    <col width="18" customWidth="1" style="50" min="2" max="8"/>
  </cols>
  <sheetData>
    <row r="1">
      <c r="A1" s="4" t="inlineStr">
        <is>
          <t>Month</t>
        </is>
      </c>
      <c r="B1" s="4" t="inlineStr">
        <is>
          <t>Revenue</t>
        </is>
      </c>
      <c r="C1" s="4" t="inlineStr">
        <is>
          <t>Expenses</t>
        </is>
      </c>
      <c r="D1" s="4" t="inlineStr">
        <is>
          <t>Profit</t>
        </is>
      </c>
      <c r="E1" s="4" t="inlineStr">
        <is>
          <t>Leads</t>
        </is>
      </c>
      <c r="F1" s="4" t="inlineStr">
        <is>
          <t>Orders</t>
        </is>
      </c>
      <c r="G1" s="4" t="inlineStr">
        <is>
          <t>Profit Margin %</t>
        </is>
      </c>
      <c r="H1" s="4" t="inlineStr">
        <is>
          <t>Monthly Growth %</t>
        </is>
      </c>
    </row>
    <row r="2">
      <c r="A2" s="2">
        <f>'Source Data'!A2</f>
        <v/>
      </c>
      <c r="B2" s="3">
        <f>'Source Data'!B2</f>
        <v/>
      </c>
      <c r="C2" s="3">
        <f>'Source Data'!C2</f>
        <v/>
      </c>
      <c r="D2" s="3">
        <f>B2-C2</f>
        <v/>
      </c>
      <c r="E2" s="3">
        <f>'Source Data'!D2</f>
        <v/>
      </c>
      <c r="F2" s="3">
        <f>'Source Data'!E2</f>
        <v/>
      </c>
      <c r="G2" s="5">
        <f>IF(B2=0,"",D2/B2)</f>
        <v/>
      </c>
      <c r="H2" s="5" t="inlineStr">
        <is>
          <t>""</t>
        </is>
      </c>
    </row>
    <row r="3">
      <c r="A3" s="2">
        <f>'Source Data'!A3</f>
        <v/>
      </c>
      <c r="B3" s="3">
        <f>'Source Data'!B3</f>
        <v/>
      </c>
      <c r="C3" s="3">
        <f>'Source Data'!C3</f>
        <v/>
      </c>
      <c r="D3" s="3">
        <f>B3-C3</f>
        <v/>
      </c>
      <c r="E3" s="3">
        <f>'Source Data'!D3</f>
        <v/>
      </c>
      <c r="F3" s="3">
        <f>'Source Data'!E3</f>
        <v/>
      </c>
      <c r="G3" s="5">
        <f>IF(B3=0,"",D3/B3)</f>
        <v/>
      </c>
      <c r="H3" s="5">
        <f>IF(B2=0,"",(B3-B2)/B2)</f>
        <v/>
      </c>
    </row>
    <row r="4">
      <c r="A4" s="2">
        <f>'Source Data'!A4</f>
        <v/>
      </c>
      <c r="B4" s="3">
        <f>'Source Data'!B4</f>
        <v/>
      </c>
      <c r="C4" s="3">
        <f>'Source Data'!C4</f>
        <v/>
      </c>
      <c r="D4" s="3">
        <f>B4-C4</f>
        <v/>
      </c>
      <c r="E4" s="3">
        <f>'Source Data'!D4</f>
        <v/>
      </c>
      <c r="F4" s="3">
        <f>'Source Data'!E4</f>
        <v/>
      </c>
      <c r="G4" s="5">
        <f>IF(B4=0,"",D4/B4)</f>
        <v/>
      </c>
      <c r="H4" s="5">
        <f>IF(B3=0,"",(B4-B3)/B3)</f>
        <v/>
      </c>
    </row>
    <row r="5">
      <c r="A5" s="2">
        <f>'Source Data'!A5</f>
        <v/>
      </c>
      <c r="B5" s="3">
        <f>'Source Data'!B5</f>
        <v/>
      </c>
      <c r="C5" s="3">
        <f>'Source Data'!C5</f>
        <v/>
      </c>
      <c r="D5" s="3">
        <f>B5-C5</f>
        <v/>
      </c>
      <c r="E5" s="3">
        <f>'Source Data'!D5</f>
        <v/>
      </c>
      <c r="F5" s="3">
        <f>'Source Data'!E5</f>
        <v/>
      </c>
      <c r="G5" s="5">
        <f>IF(B5=0,"",D5/B5)</f>
        <v/>
      </c>
      <c r="H5" s="5">
        <f>IF(B4=0,"",(B5-B4)/B4)</f>
        <v/>
      </c>
    </row>
    <row r="6">
      <c r="A6" s="2">
        <f>'Source Data'!A6</f>
        <v/>
      </c>
      <c r="B6" s="3">
        <f>'Source Data'!B6</f>
        <v/>
      </c>
      <c r="C6" s="3">
        <f>'Source Data'!C6</f>
        <v/>
      </c>
      <c r="D6" s="3">
        <f>B6-C6</f>
        <v/>
      </c>
      <c r="E6" s="3">
        <f>'Source Data'!D6</f>
        <v/>
      </c>
      <c r="F6" s="3">
        <f>'Source Data'!E6</f>
        <v/>
      </c>
      <c r="G6" s="5">
        <f>IF(B6=0,"",D6/B6)</f>
        <v/>
      </c>
      <c r="H6" s="5">
        <f>IF(B5=0,"",(B6-B5)/B5)</f>
        <v/>
      </c>
    </row>
    <row r="7">
      <c r="A7" s="2">
        <f>'Source Data'!A7</f>
        <v/>
      </c>
      <c r="B7" s="3">
        <f>'Source Data'!B7</f>
        <v/>
      </c>
      <c r="C7" s="3">
        <f>'Source Data'!C7</f>
        <v/>
      </c>
      <c r="D7" s="3">
        <f>B7-C7</f>
        <v/>
      </c>
      <c r="E7" s="3">
        <f>'Source Data'!D7</f>
        <v/>
      </c>
      <c r="F7" s="3">
        <f>'Source Data'!E7</f>
        <v/>
      </c>
      <c r="G7" s="5">
        <f>IF(B7=0,"",D7/B7)</f>
        <v/>
      </c>
      <c r="H7" s="5">
        <f>IF(B6=0,"",(B7-B6)/B6)</f>
        <v/>
      </c>
    </row>
    <row r="8">
      <c r="A8" s="2">
        <f>'Source Data'!A8</f>
        <v/>
      </c>
      <c r="B8" s="3">
        <f>'Source Data'!B8</f>
        <v/>
      </c>
      <c r="C8" s="3">
        <f>'Source Data'!C8</f>
        <v/>
      </c>
      <c r="D8" s="3">
        <f>B8-C8</f>
        <v/>
      </c>
      <c r="E8" s="3">
        <f>'Source Data'!D8</f>
        <v/>
      </c>
      <c r="F8" s="3">
        <f>'Source Data'!E8</f>
        <v/>
      </c>
      <c r="G8" s="5">
        <f>IF(B8=0,"",D8/B8)</f>
        <v/>
      </c>
      <c r="H8" s="5">
        <f>IF(B7=0,"",(B8-B7)/B7)</f>
        <v/>
      </c>
    </row>
    <row r="9">
      <c r="A9" s="2">
        <f>'Source Data'!A9</f>
        <v/>
      </c>
      <c r="B9" s="3">
        <f>'Source Data'!B9</f>
        <v/>
      </c>
      <c r="C9" s="3">
        <f>'Source Data'!C9</f>
        <v/>
      </c>
      <c r="D9" s="3">
        <f>B9-C9</f>
        <v/>
      </c>
      <c r="E9" s="3">
        <f>'Source Data'!D9</f>
        <v/>
      </c>
      <c r="F9" s="3">
        <f>'Source Data'!E9</f>
        <v/>
      </c>
      <c r="G9" s="5">
        <f>IF(B9=0,"",D9/B9)</f>
        <v/>
      </c>
      <c r="H9" s="5">
        <f>IF(B8=0,"",(B9-B8)/B8)</f>
        <v/>
      </c>
    </row>
    <row r="10">
      <c r="A10" s="2">
        <f>'Source Data'!A10</f>
        <v/>
      </c>
      <c r="B10" s="3">
        <f>'Source Data'!B10</f>
        <v/>
      </c>
      <c r="C10" s="3">
        <f>'Source Data'!C10</f>
        <v/>
      </c>
      <c r="D10" s="3">
        <f>B10-C10</f>
        <v/>
      </c>
      <c r="E10" s="3">
        <f>'Source Data'!D10</f>
        <v/>
      </c>
      <c r="F10" s="3">
        <f>'Source Data'!E10</f>
        <v/>
      </c>
      <c r="G10" s="5">
        <f>IF(B10=0,"",D10/B10)</f>
        <v/>
      </c>
      <c r="H10" s="5">
        <f>IF(B9=0,"",(B10-B9)/B9)</f>
        <v/>
      </c>
    </row>
    <row r="11">
      <c r="A11" s="2">
        <f>'Source Data'!A11</f>
        <v/>
      </c>
      <c r="B11" s="3">
        <f>'Source Data'!B11</f>
        <v/>
      </c>
      <c r="C11" s="3">
        <f>'Source Data'!C11</f>
        <v/>
      </c>
      <c r="D11" s="3">
        <f>B11-C11</f>
        <v/>
      </c>
      <c r="E11" s="3">
        <f>'Source Data'!D11</f>
        <v/>
      </c>
      <c r="F11" s="3">
        <f>'Source Data'!E11</f>
        <v/>
      </c>
      <c r="G11" s="5">
        <f>IF(B11=0,"",D11/B11)</f>
        <v/>
      </c>
      <c r="H11" s="5">
        <f>IF(B10=0,"",(B11-B10)/B10)</f>
        <v/>
      </c>
    </row>
    <row r="12">
      <c r="A12" s="2">
        <f>'Source Data'!A12</f>
        <v/>
      </c>
      <c r="B12" s="3">
        <f>'Source Data'!B12</f>
        <v/>
      </c>
      <c r="C12" s="3">
        <f>'Source Data'!C12</f>
        <v/>
      </c>
      <c r="D12" s="3">
        <f>B12-C12</f>
        <v/>
      </c>
      <c r="E12" s="3">
        <f>'Source Data'!D12</f>
        <v/>
      </c>
      <c r="F12" s="3">
        <f>'Source Data'!E12</f>
        <v/>
      </c>
      <c r="G12" s="5">
        <f>IF(B12=0,"",D12/B12)</f>
        <v/>
      </c>
      <c r="H12" s="5">
        <f>IF(B11=0,"",(B12-B11)/B11)</f>
        <v/>
      </c>
    </row>
    <row r="13">
      <c r="A13" s="2">
        <f>'Source Data'!A13</f>
        <v/>
      </c>
      <c r="B13" s="3">
        <f>'Source Data'!B13</f>
        <v/>
      </c>
      <c r="C13" s="3">
        <f>'Source Data'!C13</f>
        <v/>
      </c>
      <c r="D13" s="3">
        <f>B13-C13</f>
        <v/>
      </c>
      <c r="E13" s="3">
        <f>'Source Data'!D13</f>
        <v/>
      </c>
      <c r="F13" s="3">
        <f>'Source Data'!E13</f>
        <v/>
      </c>
      <c r="G13" s="5">
        <f>IF(B13=0,"",D13/B13)</f>
        <v/>
      </c>
      <c r="H13" s="5">
        <f>IF(B12=0,"",(B13-B12)/B12)</f>
        <v/>
      </c>
    </row>
    <row r="14">
      <c r="A14" s="6" t="inlineStr">
        <is>
          <t>TOTAL</t>
        </is>
      </c>
      <c r="B14" s="7">
        <f>SUM(B2:B13)</f>
        <v/>
      </c>
      <c r="C14" s="7">
        <f>SUM(C2:C13)</f>
        <v/>
      </c>
      <c r="D14" s="7">
        <f>SUM(D2:D13)</f>
        <v/>
      </c>
      <c r="E14" s="7">
        <f>SUM(E2:E13)</f>
        <v/>
      </c>
      <c r="F14" s="7">
        <f>SUM(F2:F13)</f>
        <v/>
      </c>
      <c r="G14" s="8">
        <f>IF(B14=0,"",D14/B14)</f>
        <v/>
      </c>
      <c r="H14" s="6" t="inlineStr">
        <is>
          <t>""</t>
        </is>
      </c>
    </row>
  </sheetData>
  <conditionalFormatting sqref="G2:G13">
    <cfRule type="dataBar" priority="5">
      <dataBar>
        <cfvo type="min"/>
        <cfvo type="max"/>
        <color rgb="FF638EC6"/>
      </dataBar>
    </cfRule>
  </conditionalFormatting>
  <conditionalFormatting sqref="G2:G14">
    <cfRule type="cellIs" priority="1" operator="greaterThan" dxfId="13">
      <formula>0.5</formula>
    </cfRule>
    <cfRule type="cellIs" priority="2" operator="lessThan" dxfId="12">
      <formula>0.2</formula>
    </cfRule>
  </conditionalFormatting>
  <conditionalFormatting sqref="H2:H14">
    <cfRule type="cellIs" priority="3" operator="greaterThan" dxfId="13">
      <formula>0</formula>
    </cfRule>
    <cfRule type="cellIs" priority="4" operator="lessThan" dxfId="12">
      <formula>0</formula>
    </cfRule>
  </conditionalFormatting>
  <conditionalFormatting sqref="H3:H13">
    <cfRule type="iconSet" priority="6">
      <iconSet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4D8"/>
    <outlinePr summaryBelow="1" summaryRight="1"/>
    <pageSetUpPr/>
  </sheetPr>
  <dimension ref="A1:C49"/>
  <sheetViews>
    <sheetView topLeftCell="A32" workbookViewId="0">
      <selection activeCell="E51" sqref="E51"/>
    </sheetView>
  </sheetViews>
  <sheetFormatPr baseColWidth="8" defaultRowHeight="14.4"/>
  <cols>
    <col width="14" customWidth="1" style="50" min="1" max="1"/>
    <col width="18" customWidth="1" style="50" min="2" max="3"/>
  </cols>
  <sheetData>
    <row r="1">
      <c r="A1" s="54" t="inlineStr">
        <is>
          <t>Revenue Trend Data</t>
        </is>
      </c>
      <c r="B1" s="56" t="n"/>
    </row>
    <row r="2">
      <c r="A2" s="10" t="inlineStr">
        <is>
          <t>Month</t>
        </is>
      </c>
      <c r="B2" s="10" t="inlineStr">
        <is>
          <t>Revenue</t>
        </is>
      </c>
    </row>
    <row r="3">
      <c r="A3" s="11">
        <f>'Source Data'!A2</f>
        <v/>
      </c>
      <c r="B3" s="12">
        <f>'Source Data'!B2</f>
        <v/>
      </c>
    </row>
    <row r="4">
      <c r="A4" s="11">
        <f>'Source Data'!A3</f>
        <v/>
      </c>
      <c r="B4" s="12">
        <f>'Source Data'!B3</f>
        <v/>
      </c>
    </row>
    <row r="5">
      <c r="A5" s="11">
        <f>'Source Data'!A4</f>
        <v/>
      </c>
      <c r="B5" s="12">
        <f>'Source Data'!B4</f>
        <v/>
      </c>
    </row>
    <row r="6">
      <c r="A6" s="11">
        <f>'Source Data'!A5</f>
        <v/>
      </c>
      <c r="B6" s="12">
        <f>'Source Data'!B5</f>
        <v/>
      </c>
    </row>
    <row r="7">
      <c r="A7" s="11">
        <f>'Source Data'!A6</f>
        <v/>
      </c>
      <c r="B7" s="12">
        <f>'Source Data'!B6</f>
        <v/>
      </c>
    </row>
    <row r="8">
      <c r="A8" s="11">
        <f>'Source Data'!A7</f>
        <v/>
      </c>
      <c r="B8" s="12">
        <f>'Source Data'!B7</f>
        <v/>
      </c>
    </row>
    <row r="9">
      <c r="A9" s="11">
        <f>'Source Data'!A8</f>
        <v/>
      </c>
      <c r="B9" s="12">
        <f>'Source Data'!B8</f>
        <v/>
      </c>
    </row>
    <row r="10">
      <c r="A10" s="11">
        <f>'Source Data'!A9</f>
        <v/>
      </c>
      <c r="B10" s="12">
        <f>'Source Data'!B9</f>
        <v/>
      </c>
    </row>
    <row r="11">
      <c r="A11" s="11">
        <f>'Source Data'!A10</f>
        <v/>
      </c>
      <c r="B11" s="12">
        <f>'Source Data'!B10</f>
        <v/>
      </c>
    </row>
    <row r="12">
      <c r="A12" s="11">
        <f>'Source Data'!A11</f>
        <v/>
      </c>
      <c r="B12" s="12">
        <f>'Source Data'!B11</f>
        <v/>
      </c>
    </row>
    <row r="13">
      <c r="A13" s="11">
        <f>'Source Data'!A12</f>
        <v/>
      </c>
      <c r="B13" s="12">
        <f>'Source Data'!B12</f>
        <v/>
      </c>
    </row>
    <row r="14">
      <c r="A14" s="11">
        <f>'Source Data'!A13</f>
        <v/>
      </c>
      <c r="B14" s="12">
        <f>'Source Data'!B13</f>
        <v/>
      </c>
    </row>
    <row r="16">
      <c r="A16" s="54" t="inlineStr">
        <is>
          <t>Revenue vs Expenses Data</t>
        </is>
      </c>
      <c r="B16" s="55" t="n"/>
      <c r="C16" s="56" t="n"/>
    </row>
    <row r="17">
      <c r="A17" s="10" t="inlineStr">
        <is>
          <t>Month</t>
        </is>
      </c>
      <c r="B17" s="10" t="inlineStr">
        <is>
          <t>Revenue</t>
        </is>
      </c>
      <c r="C17" s="10" t="inlineStr">
        <is>
          <t>Expenses</t>
        </is>
      </c>
    </row>
    <row r="18">
      <c r="A18" s="11">
        <f>'Source Data'!A2</f>
        <v/>
      </c>
      <c r="B18" s="12">
        <f>'Source Data'!B2</f>
        <v/>
      </c>
      <c r="C18" s="12">
        <f>'Source Data'!C2</f>
        <v/>
      </c>
    </row>
    <row r="19">
      <c r="A19" s="11">
        <f>'Source Data'!A3</f>
        <v/>
      </c>
      <c r="B19" s="12">
        <f>'Source Data'!B3</f>
        <v/>
      </c>
      <c r="C19" s="12">
        <f>'Source Data'!C3</f>
        <v/>
      </c>
    </row>
    <row r="20">
      <c r="A20" s="11">
        <f>'Source Data'!A4</f>
        <v/>
      </c>
      <c r="B20" s="12">
        <f>'Source Data'!B4</f>
        <v/>
      </c>
      <c r="C20" s="12">
        <f>'Source Data'!C4</f>
        <v/>
      </c>
    </row>
    <row r="21">
      <c r="A21" s="11">
        <f>'Source Data'!A5</f>
        <v/>
      </c>
      <c r="B21" s="12">
        <f>'Source Data'!B5</f>
        <v/>
      </c>
      <c r="C21" s="12">
        <f>'Source Data'!C5</f>
        <v/>
      </c>
    </row>
    <row r="22">
      <c r="A22" s="11">
        <f>'Source Data'!A6</f>
        <v/>
      </c>
      <c r="B22" s="12">
        <f>'Source Data'!B6</f>
        <v/>
      </c>
      <c r="C22" s="12">
        <f>'Source Data'!C6</f>
        <v/>
      </c>
    </row>
    <row r="23">
      <c r="A23" s="11">
        <f>'Source Data'!A7</f>
        <v/>
      </c>
      <c r="B23" s="12">
        <f>'Source Data'!B7</f>
        <v/>
      </c>
      <c r="C23" s="12">
        <f>'Source Data'!C7</f>
        <v/>
      </c>
    </row>
    <row r="24">
      <c r="A24" s="11">
        <f>'Source Data'!A8</f>
        <v/>
      </c>
      <c r="B24" s="12">
        <f>'Source Data'!B8</f>
        <v/>
      </c>
      <c r="C24" s="12">
        <f>'Source Data'!C8</f>
        <v/>
      </c>
    </row>
    <row r="25">
      <c r="A25" s="11">
        <f>'Source Data'!A9</f>
        <v/>
      </c>
      <c r="B25" s="12">
        <f>'Source Data'!B9</f>
        <v/>
      </c>
      <c r="C25" s="12">
        <f>'Source Data'!C9</f>
        <v/>
      </c>
    </row>
    <row r="26">
      <c r="A26" s="11">
        <f>'Source Data'!A10</f>
        <v/>
      </c>
      <c r="B26" s="12">
        <f>'Source Data'!B10</f>
        <v/>
      </c>
      <c r="C26" s="12">
        <f>'Source Data'!C10</f>
        <v/>
      </c>
    </row>
    <row r="27">
      <c r="A27" s="11">
        <f>'Source Data'!A11</f>
        <v/>
      </c>
      <c r="B27" s="12">
        <f>'Source Data'!B11</f>
        <v/>
      </c>
      <c r="C27" s="12">
        <f>'Source Data'!C11</f>
        <v/>
      </c>
    </row>
    <row r="28">
      <c r="A28" s="11">
        <f>'Source Data'!A12</f>
        <v/>
      </c>
      <c r="B28" s="12">
        <f>'Source Data'!B12</f>
        <v/>
      </c>
      <c r="C28" s="12">
        <f>'Source Data'!C12</f>
        <v/>
      </c>
    </row>
    <row r="29">
      <c r="A29" s="11">
        <f>'Source Data'!A13</f>
        <v/>
      </c>
      <c r="B29" s="12">
        <f>'Source Data'!B13</f>
        <v/>
      </c>
      <c r="C29" s="12">
        <f>'Source Data'!C13</f>
        <v/>
      </c>
    </row>
    <row r="31">
      <c r="A31" s="14" t="inlineStr">
        <is>
          <t>Month</t>
        </is>
      </c>
      <c r="B31" s="14" t="inlineStr">
        <is>
          <t>Revenue</t>
        </is>
      </c>
      <c r="C31" s="14" t="inlineStr">
        <is>
          <t>Profit Margin %</t>
        </is>
      </c>
    </row>
    <row r="32">
      <c r="A32" s="9">
        <f>'Source Data'!A2</f>
        <v/>
      </c>
      <c r="B32" s="13">
        <f>'Source Data'!B2</f>
        <v/>
      </c>
      <c r="C32" s="9">
        <f>Calculations!G2</f>
        <v/>
      </c>
    </row>
    <row r="33">
      <c r="A33" s="9">
        <f>'Source Data'!A3</f>
        <v/>
      </c>
      <c r="B33" s="13">
        <f>'Source Data'!B3</f>
        <v/>
      </c>
      <c r="C33" s="9">
        <f>Calculations!G3</f>
        <v/>
      </c>
    </row>
    <row r="34">
      <c r="A34" s="9">
        <f>'Source Data'!A4</f>
        <v/>
      </c>
      <c r="B34" s="13">
        <f>'Source Data'!B4</f>
        <v/>
      </c>
      <c r="C34" s="9">
        <f>Calculations!G4</f>
        <v/>
      </c>
    </row>
    <row r="35">
      <c r="A35" s="9">
        <f>'Source Data'!A5</f>
        <v/>
      </c>
      <c r="B35" s="13">
        <f>'Source Data'!B5</f>
        <v/>
      </c>
      <c r="C35" s="9">
        <f>Calculations!G5</f>
        <v/>
      </c>
    </row>
    <row r="36">
      <c r="A36" s="9">
        <f>'Source Data'!A6</f>
        <v/>
      </c>
      <c r="B36" s="13">
        <f>'Source Data'!B6</f>
        <v/>
      </c>
      <c r="C36" s="9">
        <f>Calculations!G6</f>
        <v/>
      </c>
    </row>
    <row r="37">
      <c r="A37" s="9">
        <f>'Source Data'!A7</f>
        <v/>
      </c>
      <c r="B37" s="13">
        <f>'Source Data'!B7</f>
        <v/>
      </c>
      <c r="C37" s="9">
        <f>Calculations!G7</f>
        <v/>
      </c>
    </row>
    <row r="38">
      <c r="A38" s="9">
        <f>'Source Data'!A8</f>
        <v/>
      </c>
      <c r="B38" s="13">
        <f>'Source Data'!B8</f>
        <v/>
      </c>
      <c r="C38" s="9">
        <f>Calculations!G8</f>
        <v/>
      </c>
    </row>
    <row r="39">
      <c r="A39" s="9">
        <f>'Source Data'!A9</f>
        <v/>
      </c>
      <c r="B39" s="13">
        <f>'Source Data'!B9</f>
        <v/>
      </c>
      <c r="C39" s="9">
        <f>Calculations!G9</f>
        <v/>
      </c>
    </row>
    <row r="40">
      <c r="A40" s="9">
        <f>'Source Data'!A10</f>
        <v/>
      </c>
      <c r="B40" s="13">
        <f>'Source Data'!B10</f>
        <v/>
      </c>
      <c r="C40" s="9">
        <f>Calculations!G10</f>
        <v/>
      </c>
    </row>
    <row r="41">
      <c r="A41" s="9">
        <f>'Source Data'!A11</f>
        <v/>
      </c>
      <c r="B41" s="13">
        <f>'Source Data'!B11</f>
        <v/>
      </c>
      <c r="C41" s="9">
        <f>Calculations!G11</f>
        <v/>
      </c>
    </row>
    <row r="42">
      <c r="A42" s="9">
        <f>'Source Data'!A12</f>
        <v/>
      </c>
      <c r="B42" s="13">
        <f>'Source Data'!B12</f>
        <v/>
      </c>
      <c r="C42" s="9">
        <f>Calculations!G12</f>
        <v/>
      </c>
    </row>
    <row r="43">
      <c r="A43" s="9">
        <f>'Source Data'!A13</f>
        <v/>
      </c>
      <c r="B43" s="13">
        <f>'Source Data'!B13</f>
        <v/>
      </c>
      <c r="C43" s="9">
        <f>Calculations!G13</f>
        <v/>
      </c>
    </row>
    <row r="46">
      <c r="A46" s="14" t="inlineStr">
        <is>
          <t>Category</t>
        </is>
      </c>
      <c r="B46" s="14" t="inlineStr">
        <is>
          <t>Amount</t>
        </is>
      </c>
    </row>
    <row r="47">
      <c r="A47" s="9" t="inlineStr">
        <is>
          <t>Revenue</t>
        </is>
      </c>
      <c r="B47" s="13">
        <f>Calculations!B14</f>
        <v/>
      </c>
    </row>
    <row r="48">
      <c r="A48" s="9" t="inlineStr">
        <is>
          <t>Expenses</t>
        </is>
      </c>
      <c r="B48" s="13">
        <f>-Calculations!C14</f>
        <v/>
      </c>
    </row>
    <row r="49">
      <c r="A49" s="9" t="inlineStr">
        <is>
          <t>Profit</t>
        </is>
      </c>
      <c r="B49" s="13">
        <f>Calculations!D14</f>
        <v/>
      </c>
    </row>
  </sheetData>
  <mergeCells count="2">
    <mergeCell ref="A16:C16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B2A4A"/>
    <outlinePr summaryBelow="1" summaryRight="1"/>
    <pageSetUpPr fitToPage="1"/>
  </sheetPr>
  <dimension ref="B2:K8"/>
  <sheetViews>
    <sheetView workbookViewId="0">
      <selection activeCell="M5" sqref="M5"/>
    </sheetView>
  </sheetViews>
  <sheetFormatPr baseColWidth="8" defaultRowHeight="14.4"/>
  <cols>
    <col width="2" customWidth="1" style="50" min="1" max="1"/>
    <col width="26" customWidth="1" style="50" min="2" max="2"/>
    <col width="1.5" customWidth="1" style="50" min="3" max="3"/>
    <col width="26" customWidth="1" style="50" min="4" max="4"/>
    <col width="1.5" customWidth="1" style="50" min="5" max="5"/>
    <col width="26" customWidth="1" style="50" min="6" max="6"/>
    <col width="1.5" customWidth="1" style="50" min="7" max="7"/>
    <col width="26" customWidth="1" style="50" min="8" max="8"/>
    <col width="1.5" customWidth="1" style="50" min="9" max="9"/>
    <col width="26" customWidth="1" style="50" min="10" max="10"/>
    <col width="1.5" customWidth="1" style="50" min="11" max="11"/>
  </cols>
  <sheetData>
    <row r="1" ht="8" customHeight="1" s="50"/>
    <row r="2" ht="36" customHeight="1" s="50">
      <c r="B2" s="65">
        <f>"SALES PERFORMANCE DASHBOARD â€” Profit Margin: "&amp;TEXT(Calculations!G14,"0.0%")</f>
        <v/>
      </c>
      <c r="C2" s="55" t="n"/>
      <c r="D2" s="55" t="n"/>
      <c r="E2" s="55" t="n"/>
      <c r="F2" s="55" t="n"/>
      <c r="G2" s="55" t="n"/>
      <c r="H2" s="55" t="n"/>
      <c r="I2" s="55" t="n"/>
      <c r="J2" s="55" t="n"/>
      <c r="K2" s="56" t="n"/>
    </row>
    <row r="3" ht="8" customHeight="1" s="50">
      <c r="B3" s="59" t="inlineStr">
        <is>
          <t>TOTAL REVENUE</t>
        </is>
      </c>
      <c r="C3" s="56" t="n"/>
      <c r="D3" s="59" t="inlineStr">
        <is>
          <t>TOTAL EXPENSES</t>
        </is>
      </c>
      <c r="E3" s="56" t="n"/>
      <c r="F3" s="59" t="inlineStr">
        <is>
          <t>TOTAL PROFIT</t>
        </is>
      </c>
      <c r="G3" s="56" t="n"/>
      <c r="H3" s="59" t="inlineStr">
        <is>
          <t>TOTAL LEADS</t>
        </is>
      </c>
      <c r="I3" s="56" t="n"/>
      <c r="J3" s="59" t="inlineStr">
        <is>
          <t>TOTAL ORDERS</t>
        </is>
      </c>
      <c r="K3" s="56" t="n"/>
    </row>
    <row r="4" ht="36" customHeight="1" s="50">
      <c r="B4" s="67">
        <f>Calculations!B14</f>
        <v/>
      </c>
      <c r="C4" s="56" t="n"/>
      <c r="D4" s="64">
        <f>Calculations!C14</f>
        <v/>
      </c>
      <c r="E4" s="56" t="n"/>
      <c r="F4" s="57">
        <f>Calculations!D14</f>
        <v/>
      </c>
      <c r="G4" s="56" t="n"/>
      <c r="H4" s="61">
        <f>Calculations!E14</f>
        <v/>
      </c>
      <c r="I4" s="56" t="n"/>
      <c r="J4" s="63">
        <f>Calculations!F14</f>
        <v/>
      </c>
      <c r="K4" s="56" t="n"/>
    </row>
    <row r="5" ht="6" customHeight="1" s="50">
      <c r="B5" s="58" t="n"/>
      <c r="C5" s="56" t="n"/>
      <c r="D5" s="58" t="n"/>
      <c r="E5" s="56" t="n"/>
      <c r="F5" s="58" t="n"/>
      <c r="G5" s="56" t="n"/>
      <c r="H5" s="58" t="n"/>
      <c r="I5" s="56" t="n"/>
      <c r="J5" s="58" t="n"/>
      <c r="K5" s="56" t="n"/>
    </row>
    <row r="6" ht="24" customHeight="1" s="50">
      <c r="B6" s="62">
        <f>"Profit Margin: "&amp;TEXT(Calculations!G14,"0.0%")</f>
        <v/>
      </c>
      <c r="C6" s="56" t="n"/>
      <c r="D6" s="62">
        <f>"Avg Monthly Growth: "&amp;TEXT(AVERAGE(Calculations!H2:H13),"0.0%")</f>
        <v/>
      </c>
      <c r="E6" s="56" t="n"/>
      <c r="F6" s="60" t="n"/>
      <c r="G6" s="56" t="n"/>
      <c r="H6" s="60" t="n"/>
      <c r="I6" s="56" t="n"/>
      <c r="J6" s="60" t="n"/>
      <c r="K6" s="56" t="n"/>
    </row>
    <row r="7" ht="6" customHeight="1" s="50"/>
    <row r="8">
      <c r="B8" s="66" t="n"/>
    </row>
  </sheetData>
  <mergeCells count="22">
    <mergeCell ref="F4:G4"/>
    <mergeCell ref="J5:K5"/>
    <mergeCell ref="B3:C3"/>
    <mergeCell ref="F6:G6"/>
    <mergeCell ref="H4:I4"/>
    <mergeCell ref="F3:G3"/>
    <mergeCell ref="D6:E6"/>
    <mergeCell ref="H6:I6"/>
    <mergeCell ref="J6:K6"/>
    <mergeCell ref="F5:G5"/>
    <mergeCell ref="J4:K4"/>
    <mergeCell ref="D4:E4"/>
    <mergeCell ref="B2:K2"/>
    <mergeCell ref="D3:E3"/>
    <mergeCell ref="H3:I3"/>
    <mergeCell ref="B6:C6"/>
    <mergeCell ref="J3:K3"/>
    <mergeCell ref="B8:K8"/>
    <mergeCell ref="B5:C5"/>
    <mergeCell ref="D5:E5"/>
    <mergeCell ref="H5:I5"/>
    <mergeCell ref="B4:C4"/>
  </mergeCells>
  <pageMargins left="0.4" right="0.4" top="0.5" bottom="0.5" header="0.3" footer="0.3"/>
  <pageSetup orientation="landscape" paperSize="9" fitToHeight="0" fitToWidth="1"/>
  <rowBreaks count="1" manualBreakCount="1">
    <brk id="25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topLeftCell="A49" workbookViewId="0">
      <selection activeCell="K23" sqref="K23"/>
    </sheetView>
  </sheetViews>
  <sheetFormatPr baseColWidth="8" defaultRowHeight="14.4"/>
  <cols>
    <col width="23.88671875" bestFit="1" customWidth="1" style="50" min="1" max="1"/>
    <col width="12.88671875" bestFit="1" customWidth="1" style="50" min="2" max="2"/>
    <col width="15.5546875" bestFit="1" customWidth="1" style="50" min="3" max="3"/>
    <col width="15.88671875" bestFit="1" customWidth="1" style="50" min="4" max="4"/>
    <col width="20.44140625" bestFit="1" customWidth="1" style="50" min="5" max="5"/>
    <col width="12.109375" bestFit="1" customWidth="1" style="50" min="6" max="6"/>
    <col width="12.21875" bestFit="1" customWidth="1" style="50" min="7" max="7"/>
  </cols>
  <sheetData>
    <row r="1" ht="30" customHeight="1" s="50">
      <c r="A1" s="52" t="inlineStr">
        <is>
          <t>Revenue Forecast — Next 3 Months</t>
        </is>
      </c>
    </row>
    <row r="3" ht="15.6" customHeight="1" s="50">
      <c r="A3" s="49" t="inlineStr">
        <is>
          <t>Historical Data</t>
        </is>
      </c>
    </row>
    <row r="4" ht="31.95" customHeight="1" s="50">
      <c r="A4" s="15" t="inlineStr">
        <is>
          <t>Period</t>
        </is>
      </c>
      <c r="B4" s="15" t="inlineStr">
        <is>
          <t>Month</t>
        </is>
      </c>
      <c r="C4" s="15" t="inlineStr">
        <is>
          <t>Revenue (Actual)</t>
        </is>
      </c>
      <c r="D4" s="15" t="inlineStr">
        <is>
          <t>Forecast Revenue</t>
        </is>
      </c>
      <c r="E4" s="15" t="inlineStr">
        <is>
          <t>Confidence Interval (±)</t>
        </is>
      </c>
      <c r="F4" s="15" t="inlineStr">
        <is>
          <t>Lower Bound</t>
        </is>
      </c>
      <c r="G4" s="15" t="inlineStr">
        <is>
          <t>Upper Bound</t>
        </is>
      </c>
    </row>
    <row r="5">
      <c r="A5" s="16" t="n">
        <v>1</v>
      </c>
      <c r="B5" s="17" t="inlineStr">
        <is>
          <t>Jan</t>
        </is>
      </c>
      <c r="C5" s="18">
        <f>'Source Data'!B2</f>
        <v/>
      </c>
      <c r="D5" s="18">
        <f>C5</f>
        <v/>
      </c>
      <c r="E5" s="17" t="n"/>
      <c r="F5" s="17" t="n"/>
      <c r="G5" s="17" t="n"/>
    </row>
    <row r="6">
      <c r="A6" s="19" t="n">
        <v>2</v>
      </c>
      <c r="B6" s="20" t="inlineStr">
        <is>
          <t>Feb</t>
        </is>
      </c>
      <c r="C6" s="18">
        <f>'Source Data'!B3</f>
        <v/>
      </c>
      <c r="D6" s="21">
        <f>C6</f>
        <v/>
      </c>
      <c r="E6" s="20" t="n"/>
      <c r="F6" s="20" t="n"/>
      <c r="G6" s="20" t="n"/>
    </row>
    <row r="7">
      <c r="A7" s="16" t="n">
        <v>3</v>
      </c>
      <c r="B7" s="17" t="inlineStr">
        <is>
          <t>Mar</t>
        </is>
      </c>
      <c r="C7" s="18">
        <f>'Source Data'!B4</f>
        <v/>
      </c>
      <c r="D7" s="18">
        <f>C7</f>
        <v/>
      </c>
      <c r="E7" s="17" t="n"/>
      <c r="F7" s="17" t="n"/>
      <c r="G7" s="17" t="n"/>
    </row>
    <row r="8">
      <c r="A8" s="19" t="n">
        <v>4</v>
      </c>
      <c r="B8" s="20" t="inlineStr">
        <is>
          <t>Apr</t>
        </is>
      </c>
      <c r="C8" s="18">
        <f>'Source Data'!B5</f>
        <v/>
      </c>
      <c r="D8" s="21">
        <f>C8</f>
        <v/>
      </c>
      <c r="E8" s="20" t="n"/>
      <c r="F8" s="20" t="n"/>
      <c r="G8" s="20" t="n"/>
    </row>
    <row r="9">
      <c r="A9" s="16" t="n">
        <v>5</v>
      </c>
      <c r="B9" s="17" t="inlineStr">
        <is>
          <t>May</t>
        </is>
      </c>
      <c r="C9" s="18">
        <f>'Source Data'!B6</f>
        <v/>
      </c>
      <c r="D9" s="18">
        <f>C9</f>
        <v/>
      </c>
      <c r="E9" s="17" t="n"/>
      <c r="F9" s="17" t="n"/>
      <c r="G9" s="17" t="n"/>
    </row>
    <row r="10">
      <c r="A10" s="19" t="n">
        <v>6</v>
      </c>
      <c r="B10" s="20" t="inlineStr">
        <is>
          <t>Jun</t>
        </is>
      </c>
      <c r="C10" s="18">
        <f>'Source Data'!B7</f>
        <v/>
      </c>
      <c r="D10" s="21">
        <f>C10</f>
        <v/>
      </c>
      <c r="E10" s="20" t="n"/>
      <c r="F10" s="20" t="n"/>
      <c r="G10" s="20" t="n"/>
    </row>
    <row r="11">
      <c r="A11" s="16" t="n">
        <v>7</v>
      </c>
      <c r="B11" s="17" t="inlineStr">
        <is>
          <t>Jul</t>
        </is>
      </c>
      <c r="C11" s="18">
        <f>'Source Data'!B8</f>
        <v/>
      </c>
      <c r="D11" s="18">
        <f>C11</f>
        <v/>
      </c>
      <c r="E11" s="17" t="n"/>
      <c r="F11" s="17" t="n"/>
      <c r="G11" s="17" t="n"/>
    </row>
    <row r="12">
      <c r="A12" s="19" t="n">
        <v>8</v>
      </c>
      <c r="B12" s="20" t="inlineStr">
        <is>
          <t>Aug</t>
        </is>
      </c>
      <c r="C12" s="18">
        <f>'Source Data'!B9</f>
        <v/>
      </c>
      <c r="D12" s="21">
        <f>C12</f>
        <v/>
      </c>
      <c r="E12" s="20" t="n"/>
      <c r="F12" s="20" t="n"/>
      <c r="G12" s="20" t="n"/>
    </row>
    <row r="13">
      <c r="A13" s="16" t="n">
        <v>9</v>
      </c>
      <c r="B13" s="17" t="inlineStr">
        <is>
          <t>Sep</t>
        </is>
      </c>
      <c r="C13" s="18">
        <f>'Source Data'!B10</f>
        <v/>
      </c>
      <c r="D13" s="18">
        <f>C13</f>
        <v/>
      </c>
      <c r="E13" s="17" t="n"/>
      <c r="F13" s="17" t="n"/>
      <c r="G13" s="17" t="n"/>
    </row>
    <row r="14">
      <c r="A14" s="19" t="n">
        <v>10</v>
      </c>
      <c r="B14" s="20" t="inlineStr">
        <is>
          <t>Oct</t>
        </is>
      </c>
      <c r="C14" s="18">
        <f>'Source Data'!B11</f>
        <v/>
      </c>
      <c r="D14" s="21">
        <f>C14</f>
        <v/>
      </c>
      <c r="E14" s="20" t="n"/>
      <c r="F14" s="20" t="n"/>
      <c r="G14" s="20" t="n"/>
    </row>
    <row r="15">
      <c r="A15" s="16" t="n">
        <v>11</v>
      </c>
      <c r="B15" s="17" t="inlineStr">
        <is>
          <t>Nov</t>
        </is>
      </c>
      <c r="C15" s="18">
        <f>'Source Data'!B12</f>
        <v/>
      </c>
      <c r="D15" s="18">
        <f>C15</f>
        <v/>
      </c>
      <c r="E15" s="17" t="n"/>
      <c r="F15" s="17" t="n"/>
      <c r="G15" s="17" t="n"/>
    </row>
    <row r="16">
      <c r="A16" s="19" t="n">
        <v>12</v>
      </c>
      <c r="B16" s="20" t="inlineStr">
        <is>
          <t>Dec</t>
        </is>
      </c>
      <c r="C16" s="18">
        <f>'Source Data'!B13</f>
        <v/>
      </c>
      <c r="D16" s="21">
        <f>C16</f>
        <v/>
      </c>
      <c r="E16" s="20" t="n"/>
      <c r="F16" s="20" t="n"/>
      <c r="G16" s="20" t="n"/>
    </row>
    <row r="18" ht="24" customHeight="1" s="50">
      <c r="A18" s="53" t="inlineStr">
        <is>
          <t>Forecast Period  (Next Quarter)</t>
        </is>
      </c>
    </row>
    <row r="19" ht="28.05" customHeight="1" s="50">
      <c r="A19" s="22" t="inlineStr">
        <is>
          <t>Period</t>
        </is>
      </c>
      <c r="B19" s="22" t="inlineStr">
        <is>
          <t>Month</t>
        </is>
      </c>
      <c r="C19" s="22" t="inlineStr">
        <is>
          <t>Revenue (Actual)</t>
        </is>
      </c>
      <c r="D19" s="22" t="inlineStr">
        <is>
          <t>Forecast Revenue</t>
        </is>
      </c>
      <c r="E19" s="22" t="inlineStr">
        <is>
          <t>Confidence Interval (±)</t>
        </is>
      </c>
      <c r="F19" s="22" t="inlineStr">
        <is>
          <t>Lower Bound</t>
        </is>
      </c>
      <c r="G19" s="22" t="inlineStr">
        <is>
          <t>Upper Bound</t>
        </is>
      </c>
    </row>
    <row r="20">
      <c r="A20" s="16" t="n">
        <v>13</v>
      </c>
      <c r="B20" s="17" t="inlineStr">
        <is>
          <t>Jan (Forecast)</t>
        </is>
      </c>
      <c r="C20" s="17" t="n"/>
      <c r="D20" s="25">
        <f>_xlfn.FORECAST.ETS(A20, $C$5:$C$16, $A$5:$A$16, 1, 1, 1)</f>
        <v/>
      </c>
      <c r="E20" s="18">
        <f>_xlfn.FORECAST.ETS.CONFINT(A20, $C$5:$C$16, $A$5:$A$16, 0.9, 1)</f>
        <v/>
      </c>
      <c r="F20" s="18">
        <f>D20-E20</f>
        <v/>
      </c>
      <c r="G20" s="18">
        <f>D20+E20</f>
        <v/>
      </c>
    </row>
    <row r="21">
      <c r="A21" s="16" t="n">
        <v>14</v>
      </c>
      <c r="B21" s="17" t="inlineStr">
        <is>
          <t>Feb (Forecast)</t>
        </is>
      </c>
      <c r="C21" s="17" t="n"/>
      <c r="D21" s="23">
        <f>_xlfn.FORECAST.ETS(A21, $C$5:$C$16, $A$5:$A$16, 1, 1, 1)</f>
        <v/>
      </c>
      <c r="E21" s="18">
        <f>_xlfn.FORECAST.ETS.CONFINT(A21, $C$5:$C$16, $A$5:$A$16, 0.9, 1)</f>
        <v/>
      </c>
      <c r="F21" s="18">
        <f>D21-E21</f>
        <v/>
      </c>
      <c r="G21" s="18">
        <f>D21+E21</f>
        <v/>
      </c>
    </row>
    <row r="22">
      <c r="A22" s="16" t="n">
        <v>15</v>
      </c>
      <c r="B22" s="17" t="inlineStr">
        <is>
          <t>Mar (Forecast)</t>
        </is>
      </c>
      <c r="C22" s="17" t="n"/>
      <c r="D22" s="23">
        <f>_xlfn.FORECAST.ETS(A22, $C$5:$C$16, $A$5:$A$16, 1, 1, 1)</f>
        <v/>
      </c>
      <c r="E22" s="18">
        <f>_xlfn.FORECAST.ETS.CONFINT(A22, $C$5:$C$16, $A$5:$A$16, 0.9, 1)</f>
        <v/>
      </c>
      <c r="F22" s="18">
        <f>D22-E22</f>
        <v/>
      </c>
      <c r="G22" s="18">
        <f>D22+E22</f>
        <v/>
      </c>
    </row>
    <row r="24" ht="28.05" customHeight="1" s="50">
      <c r="A24" s="51" t="inlineStr">
        <is>
          <t>Summary</t>
        </is>
      </c>
    </row>
    <row r="25">
      <c r="A25" s="24" t="inlineStr">
        <is>
          <t>Total Historical Revenue</t>
        </is>
      </c>
      <c r="B25" s="18">
        <f>SUM(C5:C16)</f>
        <v/>
      </c>
    </row>
    <row r="26">
      <c r="A26" s="24" t="inlineStr">
        <is>
          <t>Avg Monthly Revenue</t>
        </is>
      </c>
      <c r="B26" s="18">
        <f>AVERAGE(C5:C16)</f>
        <v/>
      </c>
    </row>
    <row r="27">
      <c r="A27" s="24" t="inlineStr">
        <is>
          <t>Projected Q1 Revenue</t>
        </is>
      </c>
      <c r="B27" s="18">
        <f>SUM(D20:D22)</f>
        <v/>
      </c>
    </row>
    <row r="28">
      <c r="A28" s="24" t="inlineStr">
        <is>
          <t>Projected Q1 Lower Bound</t>
        </is>
      </c>
      <c r="B28" s="18">
        <f>SUM(F20:F22)</f>
        <v/>
      </c>
    </row>
    <row r="29">
      <c r="A29" s="24" t="inlineStr">
        <is>
          <t>Projected Q1 Upper Bound</t>
        </is>
      </c>
      <c r="B29" s="18">
        <f>SUM(G20:G22)</f>
        <v/>
      </c>
    </row>
  </sheetData>
  <mergeCells count="4">
    <mergeCell ref="A3:G3"/>
    <mergeCell ref="A24:C24"/>
    <mergeCell ref="A1:G1"/>
    <mergeCell ref="A18:G1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topLeftCell="A25" workbookViewId="0">
      <selection activeCell="A1" sqref="A1:D1"/>
    </sheetView>
  </sheetViews>
  <sheetFormatPr baseColWidth="8" defaultRowHeight="14.4"/>
  <cols>
    <col width="36" customWidth="1" style="50" min="1" max="1"/>
    <col width="24" customWidth="1" style="50" min="2" max="3"/>
    <col width="22" customWidth="1" style="50" min="4" max="4"/>
    <col width="3" customWidth="1" style="50" min="5" max="5"/>
    <col width="22" customWidth="1" style="50" min="6" max="7"/>
  </cols>
  <sheetData>
    <row r="1" ht="31.95" customHeight="1" s="50">
      <c r="A1" s="68" t="inlineStr">
        <is>
          <t>What-If Analysis — Revenue Projection</t>
        </is>
      </c>
    </row>
    <row r="3" ht="24" customHeight="1" s="50">
      <c r="A3" s="69" t="inlineStr">
        <is>
          <t>Scenario Inputs</t>
        </is>
      </c>
    </row>
    <row r="5" ht="30" customHeight="1" s="50">
      <c r="A5" s="26" t="inlineStr">
        <is>
          <t>Projected Monthly Growth Rate:</t>
        </is>
      </c>
      <c r="B5" s="27" t="n">
        <v>0.05</v>
      </c>
      <c r="C5" s="70" t="inlineStr">
        <is>
          <t>Type a percentage (e.g. 5%)</t>
        </is>
      </c>
    </row>
    <row r="6">
      <c r="A6" s="26" t="inlineStr">
        <is>
          <t>Quick Presets:</t>
        </is>
      </c>
      <c r="B6" s="29" t="n"/>
      <c r="C6" s="70" t="inlineStr">
        <is>
          <t>Select a preset above, then copy it to B5</t>
        </is>
      </c>
    </row>
    <row r="8">
      <c r="A8" s="30" t="inlineStr">
        <is>
          <t>Tip:</t>
        </is>
      </c>
      <c r="B8" s="70" t="inlineStr">
        <is>
          <t>Change the value in B5 — the table and chart below update instantly.</t>
        </is>
      </c>
    </row>
    <row r="10" ht="24" customHeight="1" s="50">
      <c r="A10" s="69" t="inlineStr">
        <is>
          <t>Revenue Projection — Next 12 Months</t>
        </is>
      </c>
    </row>
    <row r="11" ht="30" customHeight="1" s="50">
      <c r="A11" s="31" t="inlineStr">
        <is>
          <t>Month</t>
        </is>
      </c>
      <c r="B11" s="31" t="inlineStr">
        <is>
          <t>Starting Revenue</t>
        </is>
      </c>
      <c r="C11" s="31" t="inlineStr">
        <is>
          <t>Projected Revenue</t>
        </is>
      </c>
      <c r="D11" s="31" t="inlineStr">
        <is>
          <t>Growth Amount</t>
        </is>
      </c>
    </row>
    <row r="12">
      <c r="A12" s="32" t="inlineStr">
        <is>
          <t>Jan</t>
        </is>
      </c>
      <c r="B12" s="33">
        <f>'Source Data'!B13</f>
        <v/>
      </c>
      <c r="C12" s="34">
        <f>IF($B$5&lt;&gt;"",B12*(1+$B$5),"")</f>
        <v/>
      </c>
      <c r="D12" s="33">
        <f>IF(C12="","",C12-B12)</f>
        <v/>
      </c>
    </row>
    <row r="13">
      <c r="A13" s="35" t="inlineStr">
        <is>
          <t>Feb</t>
        </is>
      </c>
      <c r="B13" s="36">
        <f>IF($B$5&lt;&gt;"",C12,"")</f>
        <v/>
      </c>
      <c r="C13" s="37">
        <f>IF($B$5&lt;&gt;"",B13*(1+$B$5),"")</f>
        <v/>
      </c>
      <c r="D13" s="36">
        <f>IF(C13="","",C13-B13)</f>
        <v/>
      </c>
    </row>
    <row r="14">
      <c r="A14" s="32" t="inlineStr">
        <is>
          <t>Mar</t>
        </is>
      </c>
      <c r="B14" s="33">
        <f>IF($B$5&lt;&gt;"",C13,"")</f>
        <v/>
      </c>
      <c r="C14" s="34">
        <f>IF($B$5&lt;&gt;"",B14*(1+$B$5),"")</f>
        <v/>
      </c>
      <c r="D14" s="33">
        <f>IF(C14="","",C14-B14)</f>
        <v/>
      </c>
    </row>
    <row r="15">
      <c r="A15" s="35" t="inlineStr">
        <is>
          <t>Apr</t>
        </is>
      </c>
      <c r="B15" s="36">
        <f>IF($B$5&lt;&gt;"",C14,"")</f>
        <v/>
      </c>
      <c r="C15" s="37">
        <f>IF($B$5&lt;&gt;"",B15*(1+$B$5),"")</f>
        <v/>
      </c>
      <c r="D15" s="36">
        <f>IF(C15="","",C15-B15)</f>
        <v/>
      </c>
    </row>
    <row r="16">
      <c r="A16" s="32" t="inlineStr">
        <is>
          <t>May</t>
        </is>
      </c>
      <c r="B16" s="33">
        <f>IF($B$5&lt;&gt;"",C15,"")</f>
        <v/>
      </c>
      <c r="C16" s="34">
        <f>IF($B$5&lt;&gt;"",B16*(1+$B$5),"")</f>
        <v/>
      </c>
      <c r="D16" s="33">
        <f>IF(C16="","",C16-B16)</f>
        <v/>
      </c>
    </row>
    <row r="17">
      <c r="A17" s="35" t="inlineStr">
        <is>
          <t>Jun</t>
        </is>
      </c>
      <c r="B17" s="36">
        <f>IF($B$5&lt;&gt;"",C16,"")</f>
        <v/>
      </c>
      <c r="C17" s="37">
        <f>IF($B$5&lt;&gt;"",B17*(1+$B$5),"")</f>
        <v/>
      </c>
      <c r="D17" s="36">
        <f>IF(C17="","",C17-B17)</f>
        <v/>
      </c>
    </row>
    <row r="18">
      <c r="A18" s="32" t="inlineStr">
        <is>
          <t>Jul</t>
        </is>
      </c>
      <c r="B18" s="33">
        <f>IF($B$5&lt;&gt;"",C17,"")</f>
        <v/>
      </c>
      <c r="C18" s="34">
        <f>IF($B$5&lt;&gt;"",B18*(1+$B$5),"")</f>
        <v/>
      </c>
      <c r="D18" s="33">
        <f>IF(C18="","",C18-B18)</f>
        <v/>
      </c>
    </row>
    <row r="19">
      <c r="A19" s="35" t="inlineStr">
        <is>
          <t>Aug</t>
        </is>
      </c>
      <c r="B19" s="36">
        <f>IF($B$5&lt;&gt;"",C18,"")</f>
        <v/>
      </c>
      <c r="C19" s="37">
        <f>IF($B$5&lt;&gt;"",B19*(1+$B$5),"")</f>
        <v/>
      </c>
      <c r="D19" s="36">
        <f>IF(C19="","",C19-B19)</f>
        <v/>
      </c>
    </row>
    <row r="20">
      <c r="A20" s="32" t="inlineStr">
        <is>
          <t>Sep</t>
        </is>
      </c>
      <c r="B20" s="33">
        <f>IF($B$5&lt;&gt;"",C19,"")</f>
        <v/>
      </c>
      <c r="C20" s="34">
        <f>IF($B$5&lt;&gt;"",B20*(1+$B$5),"")</f>
        <v/>
      </c>
      <c r="D20" s="33">
        <f>IF(C20="","",C20-B20)</f>
        <v/>
      </c>
    </row>
    <row r="21">
      <c r="A21" s="35" t="inlineStr">
        <is>
          <t>Oct</t>
        </is>
      </c>
      <c r="B21" s="36">
        <f>IF($B$5&lt;&gt;"",C20,"")</f>
        <v/>
      </c>
      <c r="C21" s="37">
        <f>IF($B$5&lt;&gt;"",B21*(1+$B$5),"")</f>
        <v/>
      </c>
      <c r="D21" s="36">
        <f>IF(C21="","",C21-B21)</f>
        <v/>
      </c>
    </row>
    <row r="22">
      <c r="A22" s="32" t="inlineStr">
        <is>
          <t>Nov</t>
        </is>
      </c>
      <c r="B22" s="33">
        <f>IF($B$5&lt;&gt;"",C21,"")</f>
        <v/>
      </c>
      <c r="C22" s="34">
        <f>IF($B$5&lt;&gt;"",B22*(1+$B$5),"")</f>
        <v/>
      </c>
      <c r="D22" s="33">
        <f>IF(C22="","",C22-B22)</f>
        <v/>
      </c>
    </row>
    <row r="23">
      <c r="A23" s="35" t="inlineStr">
        <is>
          <t>Dec</t>
        </is>
      </c>
      <c r="B23" s="36">
        <f>IF($B$5&lt;&gt;"",C22,"")</f>
        <v/>
      </c>
      <c r="C23" s="37">
        <f>IF($B$5&lt;&gt;"",B23*(1+$B$5),"")</f>
        <v/>
      </c>
      <c r="D23" s="36">
        <f>IF(C23="","",C23-B23)</f>
        <v/>
      </c>
    </row>
    <row r="24">
      <c r="A24" s="31" t="inlineStr">
        <is>
          <t>TOTAL</t>
        </is>
      </c>
      <c r="B24" s="38">
        <f>B12</f>
        <v/>
      </c>
      <c r="C24" s="38">
        <f>SUM(C12:C23)</f>
        <v/>
      </c>
      <c r="D24" s="38">
        <f>SUM(D12:D23)</f>
        <v/>
      </c>
    </row>
    <row r="26" ht="36" customHeight="1" s="50">
      <c r="A26" s="72" t="inlineStr">
        <is>
          <t>Projected Year-End Revenue:</t>
        </is>
      </c>
      <c r="D26" s="39">
        <f>C24</f>
        <v/>
      </c>
    </row>
    <row r="27" ht="18" customHeight="1" s="50">
      <c r="A27" s="71" t="inlineStr">
        <is>
          <t>Total Growth over Baseline:</t>
        </is>
      </c>
      <c r="D27" s="40">
        <f>D24</f>
        <v/>
      </c>
    </row>
    <row r="44" ht="17.4" customHeight="1" s="50">
      <c r="A44" s="69" t="inlineStr">
        <is>
          <t>Scenario Comparison</t>
        </is>
      </c>
    </row>
    <row r="45" ht="28.8" customHeight="1" s="50">
      <c r="A45" s="31" t="inlineStr">
        <is>
          <t>Growth Rate</t>
        </is>
      </c>
      <c r="B45" s="31" t="inlineStr">
        <is>
          <t>Projected Year-End Revenue</t>
        </is>
      </c>
      <c r="C45" s="31" t="inlineStr">
        <is>
          <t>vs Baseline</t>
        </is>
      </c>
    </row>
    <row r="46">
      <c r="A46" s="41" t="n">
        <v>0.03</v>
      </c>
      <c r="B46" s="42" t="inlineStr">
        <is>
          <t>→ Type in B5 →</t>
        </is>
      </c>
      <c r="C46" s="43" t="n"/>
    </row>
    <row r="47">
      <c r="A47" s="44" t="n">
        <v>0.05</v>
      </c>
      <c r="B47" s="45" t="inlineStr">
        <is>
          <t>→ Type in B5 →</t>
        </is>
      </c>
      <c r="C47" s="46" t="n"/>
    </row>
    <row r="48">
      <c r="A48" s="41" t="n">
        <v>0.08</v>
      </c>
      <c r="B48" s="42" t="inlineStr">
        <is>
          <t>→ Type in B5 →</t>
        </is>
      </c>
      <c r="C48" s="43" t="n"/>
    </row>
    <row r="49">
      <c r="A49" s="41" t="n">
        <v>0.1</v>
      </c>
      <c r="B49" s="42" t="inlineStr">
        <is>
          <t>→ Type in B5 →</t>
        </is>
      </c>
      <c r="C49" s="43" t="n"/>
    </row>
    <row r="51" ht="30" customHeight="1" s="50">
      <c r="A51" s="73" t="inlineStr">
        <is>
          <t>Tip: Select a growth rate from the Quick Presets dropdown, copy it to cell B5, and the projection updates instantly.</t>
        </is>
      </c>
    </row>
  </sheetData>
  <mergeCells count="8">
    <mergeCell ref="A1:D1"/>
    <mergeCell ref="A44:C44"/>
    <mergeCell ref="B8:D8"/>
    <mergeCell ref="A3:D3"/>
    <mergeCell ref="A27:C27"/>
    <mergeCell ref="A10:D10"/>
    <mergeCell ref="A26:C26"/>
    <mergeCell ref="A51:C51"/>
  </mergeCells>
  <dataValidations count="1">
    <dataValidation sqref="B6" showDropDown="0" showInputMessage="0" showErrorMessage="1" allowBlank="1" errorTitle="Invalid value" error="Please select 3%, 5%, 8%, or 10% (or type a custom value in the cell above)." type="list">
      <formula1>"3%,5%,8%,10%"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G14" sqref="G14"/>
    </sheetView>
  </sheetViews>
  <sheetFormatPr baseColWidth="8" defaultRowHeight="14.4"/>
  <cols>
    <col width="12.5546875" bestFit="1" customWidth="1" style="50" min="1" max="1"/>
    <col width="14.88671875" bestFit="1" customWidth="1" style="50" min="2" max="2"/>
  </cols>
  <sheetData>
    <row r="3">
      <c r="A3" s="74" t="inlineStr">
        <is>
          <t>Row Labels</t>
        </is>
      </c>
      <c r="B3" s="9" t="inlineStr">
        <is>
          <t>Sum of Revenue</t>
        </is>
      </c>
    </row>
    <row r="4">
      <c r="A4" s="75" t="inlineStr">
        <is>
          <t>Q1</t>
        </is>
      </c>
      <c r="B4" s="13" t="n">
        <v>383000</v>
      </c>
    </row>
    <row r="5">
      <c r="A5" s="75" t="inlineStr">
        <is>
          <t>Q2</t>
        </is>
      </c>
      <c r="B5" s="13" t="n">
        <v>487000</v>
      </c>
    </row>
    <row r="6">
      <c r="A6" s="75" t="inlineStr">
        <is>
          <t>Q3</t>
        </is>
      </c>
      <c r="B6" s="13" t="n">
        <v>546000</v>
      </c>
    </row>
    <row r="7">
      <c r="A7" s="75" t="inlineStr">
        <is>
          <t>Q4</t>
        </is>
      </c>
      <c r="B7" s="13" t="n">
        <v>663000</v>
      </c>
    </row>
    <row r="8">
      <c r="A8" s="75" t="inlineStr">
        <is>
          <t>Grand Total</t>
        </is>
      </c>
      <c r="B8" s="13" t="n">
        <v>2079000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2026-06-13T17:25:39Z</dcterms:created>
  <dcterms:modified xmlns:dcterms="http://purl.org/dc/terms/" xmlns:xsi="http://www.w3.org/2001/XMLSchema-instance" xsi:type="dcterms:W3CDTF">2026-06-15T11:11:34Z</dcterms:modified>
  <cp:lastModifiedBy>Abinash Dash</cp:lastModifiedBy>
</cp:coreProperties>
</file>